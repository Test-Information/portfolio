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\99_Others\"/>
    </mc:Choice>
  </mc:AlternateContent>
  <xr:revisionPtr revIDLastSave="0" documentId="13_ncr:1_{042DB170-DFAE-406A-93A8-8F0ECFFDEAC2}" xr6:coauthVersionLast="47" xr6:coauthVersionMax="47" xr10:uidLastSave="{00000000-0000-0000-0000-000000000000}"/>
  <bookViews>
    <workbookView xWindow="-120" yWindow="-120" windowWidth="29040" windowHeight="15720" xr2:uid="{0CEC575C-2CE2-4A91-9FC5-0346F782D22B}"/>
  </bookViews>
  <sheets>
    <sheet name="WBS" sheetId="8" r:id="rId1"/>
    <sheet name="Sheet1" sheetId="9" r:id="rId2"/>
  </sheets>
  <definedNames>
    <definedName name="_xlnm._FilterDatabase" localSheetId="0" hidden="1">WBS!$B$6:$O$6</definedName>
    <definedName name="_xlnm.Print_Area" localSheetId="0">WBS!$A$1:$O$31</definedName>
    <definedName name="_xlnm.Print_Titles" localSheetId="0">WBS!$6:$6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8" l="1"/>
  <c r="N8" i="8"/>
  <c r="B20" i="8"/>
  <c r="N20" i="8"/>
  <c r="B21" i="8"/>
  <c r="N21" i="8"/>
  <c r="B22" i="8"/>
  <c r="N22" i="8"/>
  <c r="B23" i="8"/>
  <c r="N23" i="8"/>
  <c r="B24" i="8"/>
  <c r="N24" i="8"/>
  <c r="B8" i="8"/>
  <c r="B9" i="8"/>
  <c r="B10" i="8"/>
  <c r="B11" i="8"/>
  <c r="B12" i="8"/>
  <c r="B13" i="8"/>
  <c r="B14" i="8"/>
  <c r="B15" i="8"/>
  <c r="B16" i="8"/>
  <c r="B17" i="8"/>
  <c r="B18" i="8"/>
  <c r="B19" i="8"/>
  <c r="B25" i="8"/>
  <c r="B26" i="8"/>
  <c r="B27" i="8"/>
  <c r="B28" i="8"/>
  <c r="B7" i="8"/>
  <c r="N10" i="8"/>
  <c r="N17" i="8"/>
  <c r="N18" i="8"/>
  <c r="N15" i="8"/>
  <c r="N16" i="8"/>
  <c r="N19" i="8"/>
  <c r="N12" i="8"/>
  <c r="N9" i="8"/>
  <c r="N11" i="8"/>
  <c r="N13" i="8"/>
  <c r="N25" i="8"/>
  <c r="N14" i="8"/>
  <c r="N26" i="8"/>
  <c r="N27" i="8"/>
  <c r="N28" i="8"/>
  <c r="N7" i="8"/>
</calcChain>
</file>

<file path=xl/sharedStrings.xml><?xml version="1.0" encoding="utf-8"?>
<sst xmlns="http://schemas.openxmlformats.org/spreadsheetml/2006/main" count="112" uniqueCount="62">
  <si>
    <t>#</t>
    <phoneticPr fontId="1"/>
  </si>
  <si>
    <t>備考</t>
    <rPh sb="0" eb="2">
      <t>ビコウ</t>
    </rPh>
    <phoneticPr fontId="1"/>
  </si>
  <si>
    <t>タスク</t>
    <phoneticPr fontId="1"/>
  </si>
  <si>
    <t>ポートフォリオ完成までに実施したいタスクを記載する。</t>
    <rPh sb="7" eb="9">
      <t>カンセイ</t>
    </rPh>
    <rPh sb="12" eb="14">
      <t>ジッシ</t>
    </rPh>
    <rPh sb="21" eb="23">
      <t>キサイ</t>
    </rPh>
    <phoneticPr fontId="1"/>
  </si>
  <si>
    <t>進捗率</t>
    <rPh sb="0" eb="2">
      <t>シンチョク</t>
    </rPh>
    <rPh sb="2" eb="3">
      <t>リツ</t>
    </rPh>
    <phoneticPr fontId="1"/>
  </si>
  <si>
    <t>制作区分</t>
    <rPh sb="0" eb="2">
      <t>セイサク</t>
    </rPh>
    <rPh sb="2" eb="4">
      <t>クブン</t>
    </rPh>
    <phoneticPr fontId="1"/>
  </si>
  <si>
    <t>docs配下資料PDF化</t>
    <rPh sb="4" eb="6">
      <t>ハイカ</t>
    </rPh>
    <rPh sb="6" eb="8">
      <t>シリョウ</t>
    </rPh>
    <rPh sb="11" eb="12">
      <t>バ</t>
    </rPh>
    <phoneticPr fontId="1"/>
  </si>
  <si>
    <t>全量</t>
    <rPh sb="0" eb="2">
      <t>ゼンリョウ</t>
    </rPh>
    <phoneticPr fontId="1"/>
  </si>
  <si>
    <t>実施数 ※１</t>
    <rPh sb="0" eb="2">
      <t>ジッシ</t>
    </rPh>
    <rPh sb="2" eb="3">
      <t>スウ</t>
    </rPh>
    <phoneticPr fontId="1"/>
  </si>
  <si>
    <t>詳細</t>
    <rPh sb="0" eb="2">
      <t>ショウサイ</t>
    </rPh>
    <phoneticPr fontId="1"/>
  </si>
  <si>
    <t>-</t>
    <phoneticPr fontId="1"/>
  </si>
  <si>
    <t>Git Hub ReadMe デジタルバッジ追加対応</t>
    <rPh sb="22" eb="24">
      <t>ツイカ</t>
    </rPh>
    <rPh sb="24" eb="26">
      <t>タイオウ</t>
    </rPh>
    <phoneticPr fontId="1"/>
  </si>
  <si>
    <t>Git プロフィール更新</t>
    <rPh sb="10" eb="12">
      <t>コウシン</t>
    </rPh>
    <phoneticPr fontId="1"/>
  </si>
  <si>
    <t>未定</t>
    <rPh sb="0" eb="2">
      <t>ミテイ</t>
    </rPh>
    <phoneticPr fontId="1"/>
  </si>
  <si>
    <t>ファイル数検索バッチ 権限対応 PD</t>
    <rPh sb="4" eb="5">
      <t>スウ</t>
    </rPh>
    <rPh sb="5" eb="7">
      <t>ケンサク</t>
    </rPh>
    <rPh sb="11" eb="13">
      <t>ケンゲン</t>
    </rPh>
    <rPh sb="13" eb="15">
      <t>タイオウ</t>
    </rPh>
    <phoneticPr fontId="1"/>
  </si>
  <si>
    <t>ファイル数検索バッチ 権限対応 M</t>
    <rPh sb="4" eb="5">
      <t>スウ</t>
    </rPh>
    <rPh sb="5" eb="7">
      <t>ケンサク</t>
    </rPh>
    <rPh sb="11" eb="13">
      <t>ケンゲン</t>
    </rPh>
    <rPh sb="13" eb="15">
      <t>タイオウ</t>
    </rPh>
    <phoneticPr fontId="1"/>
  </si>
  <si>
    <t>C:直下検索内容の変更</t>
    <rPh sb="2" eb="4">
      <t>チョッカ</t>
    </rPh>
    <rPh sb="4" eb="6">
      <t>ケンサク</t>
    </rPh>
    <rPh sb="6" eb="8">
      <t>ナイヨウ</t>
    </rPh>
    <rPh sb="9" eb="11">
      <t>ヘンコウ</t>
    </rPh>
    <phoneticPr fontId="1"/>
  </si>
  <si>
    <t>開始予定</t>
    <rPh sb="2" eb="4">
      <t>ヨテイ</t>
    </rPh>
    <phoneticPr fontId="1"/>
  </si>
  <si>
    <t>終了予定</t>
    <rPh sb="2" eb="4">
      <t>ヨテイ</t>
    </rPh>
    <phoneticPr fontId="1"/>
  </si>
  <si>
    <t>開始実績</t>
    <rPh sb="0" eb="2">
      <t>カイシ</t>
    </rPh>
    <rPh sb="2" eb="4">
      <t>ジッセキ</t>
    </rPh>
    <phoneticPr fontId="1"/>
  </si>
  <si>
    <t>終了実績</t>
    <rPh sb="0" eb="2">
      <t>シュウリョウ</t>
    </rPh>
    <rPh sb="2" eb="4">
      <t>ジッセキ</t>
    </rPh>
    <phoneticPr fontId="1"/>
  </si>
  <si>
    <t>作業期間</t>
    <phoneticPr fontId="1"/>
  </si>
  <si>
    <t>言語別や案件別、学習に使用した書籍などをプロフィールに記載</t>
    <rPh sb="0" eb="2">
      <t>ゲンゴ</t>
    </rPh>
    <rPh sb="2" eb="3">
      <t>ベツ</t>
    </rPh>
    <rPh sb="4" eb="6">
      <t>アンケン</t>
    </rPh>
    <rPh sb="6" eb="7">
      <t>ベツ</t>
    </rPh>
    <rPh sb="8" eb="10">
      <t>ガクシュウ</t>
    </rPh>
    <rPh sb="11" eb="13">
      <t>シヨウ</t>
    </rPh>
    <rPh sb="15" eb="17">
      <t>ショセキ</t>
    </rPh>
    <rPh sb="27" eb="29">
      <t>キサイ</t>
    </rPh>
    <phoneticPr fontId="1"/>
  </si>
  <si>
    <t>学習用ソースコード掲載</t>
    <rPh sb="0" eb="3">
      <t>ガクシュウヨウ</t>
    </rPh>
    <rPh sb="9" eb="11">
      <t>ケイサイ</t>
    </rPh>
    <phoneticPr fontId="1"/>
  </si>
  <si>
    <t>ポートフォリオ制作プロジェクト WBS</t>
    <rPh sb="7" eb="9">
      <t>セイサク</t>
    </rPh>
    <phoneticPr fontId="1"/>
  </si>
  <si>
    <t>勤務表 自動入力ツール PD</t>
    <rPh sb="0" eb="2">
      <t>キンム</t>
    </rPh>
    <rPh sb="2" eb="3">
      <t>ヒョウ</t>
    </rPh>
    <rPh sb="4" eb="6">
      <t>ジドウ</t>
    </rPh>
    <rPh sb="6" eb="8">
      <t>ニュウリョク</t>
    </rPh>
    <phoneticPr fontId="1"/>
  </si>
  <si>
    <t>勤務表 自動入力ツール M</t>
    <rPh sb="0" eb="2">
      <t>キンム</t>
    </rPh>
    <rPh sb="2" eb="3">
      <t>ヒョウ</t>
    </rPh>
    <rPh sb="4" eb="6">
      <t>ジドウ</t>
    </rPh>
    <rPh sb="6" eb="8">
      <t>ニュウリョク</t>
    </rPh>
    <phoneticPr fontId="1"/>
  </si>
  <si>
    <t>勤務表 自動入力ツール 操作説明書作成</t>
    <rPh sb="0" eb="2">
      <t>キンム</t>
    </rPh>
    <rPh sb="2" eb="3">
      <t>ヒョウ</t>
    </rPh>
    <rPh sb="4" eb="6">
      <t>ジドウ</t>
    </rPh>
    <rPh sb="6" eb="8">
      <t>ニュウリョク</t>
    </rPh>
    <rPh sb="12" eb="14">
      <t>ソウサ</t>
    </rPh>
    <rPh sb="14" eb="17">
      <t>セツメイショ</t>
    </rPh>
    <rPh sb="17" eb="19">
      <t>サクセイ</t>
    </rPh>
    <phoneticPr fontId="1"/>
  </si>
  <si>
    <t>ファイル数検索バッチ 権限対応 操作説明書更新</t>
    <rPh sb="4" eb="5">
      <t>スウ</t>
    </rPh>
    <rPh sb="5" eb="7">
      <t>ケンサク</t>
    </rPh>
    <rPh sb="11" eb="13">
      <t>ケンゲン</t>
    </rPh>
    <rPh sb="13" eb="15">
      <t>タイオウ</t>
    </rPh>
    <rPh sb="16" eb="18">
      <t>ソウサ</t>
    </rPh>
    <rPh sb="18" eb="21">
      <t>セツメイショ</t>
    </rPh>
    <rPh sb="21" eb="23">
      <t>コウシン</t>
    </rPh>
    <phoneticPr fontId="1"/>
  </si>
  <si>
    <t>工数見積(h)</t>
    <rPh sb="0" eb="2">
      <t>コウスウ</t>
    </rPh>
    <rPh sb="2" eb="4">
      <t>ミツ</t>
    </rPh>
    <phoneticPr fontId="1"/>
  </si>
  <si>
    <t>工数実績(h)</t>
    <rPh sb="0" eb="2">
      <t>コウスウミツモリ2</t>
    </rPh>
    <rPh sb="2" eb="4">
      <t>ジッセキ</t>
    </rPh>
    <phoneticPr fontId="1"/>
  </si>
  <si>
    <t>勤務表 自動入力ツール PT項目作成</t>
    <rPh sb="0" eb="2">
      <t>キンム</t>
    </rPh>
    <rPh sb="2" eb="3">
      <t>ヒョウ</t>
    </rPh>
    <rPh sb="4" eb="6">
      <t>ジドウ</t>
    </rPh>
    <rPh sb="6" eb="8">
      <t>ニュウリョク</t>
    </rPh>
    <rPh sb="14" eb="16">
      <t>コウモク</t>
    </rPh>
    <rPh sb="16" eb="18">
      <t>サクセイ</t>
    </rPh>
    <phoneticPr fontId="1"/>
  </si>
  <si>
    <t>ファイル数検索バッチ 権限対応 PT項目作成</t>
    <rPh sb="4" eb="5">
      <t>スウ</t>
    </rPh>
    <rPh sb="5" eb="7">
      <t>ケンサク</t>
    </rPh>
    <rPh sb="11" eb="13">
      <t>ケンゲン</t>
    </rPh>
    <rPh sb="13" eb="15">
      <t>タイオウ</t>
    </rPh>
    <rPh sb="18" eb="20">
      <t>コウモク</t>
    </rPh>
    <rPh sb="20" eb="22">
      <t>サクセイ</t>
    </rPh>
    <phoneticPr fontId="1"/>
  </si>
  <si>
    <t>ファイル数検索バッチ 権限対応 PT試験消化</t>
    <rPh sb="4" eb="5">
      <t>スウ</t>
    </rPh>
    <rPh sb="5" eb="7">
      <t>ケンサク</t>
    </rPh>
    <rPh sb="11" eb="13">
      <t>ケンゲン</t>
    </rPh>
    <rPh sb="13" eb="15">
      <t>タイオウ</t>
    </rPh>
    <rPh sb="18" eb="20">
      <t>シケン</t>
    </rPh>
    <rPh sb="20" eb="22">
      <t>ショウカ</t>
    </rPh>
    <phoneticPr fontId="1"/>
  </si>
  <si>
    <t>勤務表 自動入力ツール PT試験消化</t>
    <rPh sb="0" eb="2">
      <t>キンム</t>
    </rPh>
    <rPh sb="2" eb="3">
      <t>ヒョウ</t>
    </rPh>
    <rPh sb="4" eb="6">
      <t>ジドウ</t>
    </rPh>
    <rPh sb="6" eb="8">
      <t>ニュウリョク</t>
    </rPh>
    <rPh sb="14" eb="16">
      <t>シケン</t>
    </rPh>
    <rPh sb="16" eb="18">
      <t>ショウカ</t>
    </rPh>
    <phoneticPr fontId="1"/>
  </si>
  <si>
    <t>試験項目作成</t>
    <rPh sb="0" eb="2">
      <t>シケン</t>
    </rPh>
    <rPh sb="2" eb="4">
      <t>コウモク</t>
    </rPh>
    <rPh sb="4" eb="6">
      <t>サクセイ</t>
    </rPh>
    <phoneticPr fontId="1"/>
  </si>
  <si>
    <t>試験消化</t>
    <rPh sb="0" eb="2">
      <t>シケン</t>
    </rPh>
    <rPh sb="2" eb="4">
      <t>ショウカ</t>
    </rPh>
    <phoneticPr fontId="1"/>
  </si>
  <si>
    <t>試験項目作成
※Git Hubダウンロード後のファイルで試験を消化</t>
    <rPh sb="0" eb="2">
      <t>シケン</t>
    </rPh>
    <rPh sb="2" eb="4">
      <t>コウモク</t>
    </rPh>
    <rPh sb="4" eb="6">
      <t>サクセイ</t>
    </rPh>
    <phoneticPr fontId="1"/>
  </si>
  <si>
    <t>ローカル端末の勤務表のExcel VBAを公開用にブラッシュアップ</t>
    <rPh sb="4" eb="6">
      <t>タンマツ</t>
    </rPh>
    <rPh sb="7" eb="9">
      <t>キンム</t>
    </rPh>
    <rPh sb="9" eb="10">
      <t>ヒョウ</t>
    </rPh>
    <rPh sb="21" eb="24">
      <t>コウカイヨウ</t>
    </rPh>
    <phoneticPr fontId="1"/>
  </si>
  <si>
    <t>実装</t>
    <rPh sb="0" eb="2">
      <t>ジッソウ</t>
    </rPh>
    <phoneticPr fontId="1"/>
  </si>
  <si>
    <t>勤務表 自動入力ツール PDF作成</t>
    <rPh sb="0" eb="2">
      <t>キンム</t>
    </rPh>
    <rPh sb="2" eb="3">
      <t>ヒョウ</t>
    </rPh>
    <rPh sb="4" eb="6">
      <t>ジドウ</t>
    </rPh>
    <rPh sb="6" eb="8">
      <t>ニュウリョク</t>
    </rPh>
    <rPh sb="15" eb="17">
      <t>サクセイ</t>
    </rPh>
    <phoneticPr fontId="1"/>
  </si>
  <si>
    <t>各種資料のPDF化</t>
    <rPh sb="0" eb="2">
      <t>カクシュ</t>
    </rPh>
    <rPh sb="2" eb="4">
      <t>シリョウ</t>
    </rPh>
    <rPh sb="8" eb="9">
      <t>バ</t>
    </rPh>
    <phoneticPr fontId="1"/>
  </si>
  <si>
    <t>pptx資料作成</t>
    <rPh sb="4" eb="6">
      <t>シリョウ</t>
    </rPh>
    <rPh sb="6" eb="8">
      <t>サクセイ</t>
    </rPh>
    <phoneticPr fontId="1"/>
  </si>
  <si>
    <t>ローカル作成済みソースコードを実装。
・ハードコーディング→変数化
・各コメント追加
・リファクタリング</t>
    <rPh sb="4" eb="6">
      <t>サクセイ</t>
    </rPh>
    <rPh sb="6" eb="7">
      <t>ズ</t>
    </rPh>
    <rPh sb="15" eb="17">
      <t>ジッソウ</t>
    </rPh>
    <rPh sb="30" eb="33">
      <t>ヘンスウカ</t>
    </rPh>
    <rPh sb="35" eb="36">
      <t>カク</t>
    </rPh>
    <rPh sb="40" eb="42">
      <t>ツイカ</t>
    </rPh>
    <phoneticPr fontId="1"/>
  </si>
  <si>
    <t>試験項目作成
・Git Hubダウンロード後のファイルで試験を消化
・他ブック、シートへの影響がないことの確認必須</t>
    <rPh sb="0" eb="2">
      <t>シケン</t>
    </rPh>
    <rPh sb="2" eb="4">
      <t>コウモク</t>
    </rPh>
    <rPh sb="4" eb="6">
      <t>サクセイ</t>
    </rPh>
    <rPh sb="35" eb="36">
      <t>ホカ</t>
    </rPh>
    <rPh sb="45" eb="47">
      <t>エイキョウ</t>
    </rPh>
    <rPh sb="53" eb="55">
      <t>カクニン</t>
    </rPh>
    <rPh sb="55" eb="57">
      <t>ヒッス</t>
    </rPh>
    <phoneticPr fontId="1"/>
  </si>
  <si>
    <t>設計書の内容を実装</t>
    <rPh sb="0" eb="3">
      <t>セッケイショ</t>
    </rPh>
    <rPh sb="4" eb="6">
      <t>ナイヨウ</t>
    </rPh>
    <rPh sb="7" eb="9">
      <t>ジッソウ</t>
    </rPh>
    <phoneticPr fontId="1"/>
  </si>
  <si>
    <t>設計書を修正</t>
    <rPh sb="0" eb="3">
      <t>セッケイショ</t>
    </rPh>
    <rPh sb="4" eb="6">
      <t>シュウセイ</t>
    </rPh>
    <phoneticPr fontId="1"/>
  </si>
  <si>
    <t>バグ表#1</t>
    <rPh sb="2" eb="3">
      <t>ヒョウ</t>
    </rPh>
    <phoneticPr fontId="1"/>
  </si>
  <si>
    <t>ローカルリポジトリBackup用 PowerShell PD</t>
    <rPh sb="15" eb="16">
      <t>ヨウ</t>
    </rPh>
    <phoneticPr fontId="1"/>
  </si>
  <si>
    <t>ローカルリポジトリBackup用 PowerShell M</t>
    <rPh sb="15" eb="16">
      <t>ヨウ</t>
    </rPh>
    <phoneticPr fontId="1"/>
  </si>
  <si>
    <t>ローカルリポジトリBackup用 PowerShell PT項目作成</t>
    <rPh sb="15" eb="16">
      <t>ヨウ</t>
    </rPh>
    <rPh sb="30" eb="32">
      <t>コウモク</t>
    </rPh>
    <rPh sb="32" eb="34">
      <t>サクセイ</t>
    </rPh>
    <phoneticPr fontId="1"/>
  </si>
  <si>
    <t>ローカルリポジトリBackup用 PowerShell PT項目消化</t>
    <rPh sb="15" eb="16">
      <t>ヨウ</t>
    </rPh>
    <rPh sb="30" eb="32">
      <t>コウモク</t>
    </rPh>
    <rPh sb="32" eb="34">
      <t>ショウカ</t>
    </rPh>
    <phoneticPr fontId="1"/>
  </si>
  <si>
    <t>※実務でWBS作成依頼がきたときにどういった成果物(WBS)が作成できるかのイメージ（観賞用）です。更新の予定はありません。</t>
    <rPh sb="1" eb="3">
      <t>ジツム</t>
    </rPh>
    <rPh sb="7" eb="9">
      <t>サクセイ</t>
    </rPh>
    <rPh sb="9" eb="11">
      <t>イライ</t>
    </rPh>
    <rPh sb="22" eb="25">
      <t>セイカブツ</t>
    </rPh>
    <rPh sb="31" eb="33">
      <t>サクセイ</t>
    </rPh>
    <rPh sb="43" eb="46">
      <t>カンショウヨウ</t>
    </rPh>
    <rPh sb="50" eb="52">
      <t>コウシン</t>
    </rPh>
    <rPh sb="53" eb="55">
      <t>ヨテイ</t>
    </rPh>
    <phoneticPr fontId="1"/>
  </si>
  <si>
    <t>ローカルリポジトリBackup用 PowerShell 操作説明書作成</t>
    <rPh sb="15" eb="16">
      <t>ヨウ</t>
    </rPh>
    <rPh sb="28" eb="30">
      <t>ソウサ</t>
    </rPh>
    <rPh sb="30" eb="33">
      <t>セツメイショ</t>
    </rPh>
    <rPh sb="33" eb="35">
      <t>サクセイ</t>
    </rPh>
    <phoneticPr fontId="1"/>
  </si>
  <si>
    <t>操作説明書作成</t>
    <rPh sb="0" eb="2">
      <t>ソウサ</t>
    </rPh>
    <rPh sb="2" eb="5">
      <t>セツメイショ</t>
    </rPh>
    <rPh sb="5" eb="7">
      <t>サクセイ</t>
    </rPh>
    <phoneticPr fontId="1"/>
  </si>
  <si>
    <t>設計書作成
※現状、イメージのみ。
外部JSONファイルでコピー元、コピー先設定を行うプログラム</t>
    <rPh sb="0" eb="3">
      <t>セッケイショ</t>
    </rPh>
    <rPh sb="3" eb="5">
      <t>サクセイ</t>
    </rPh>
    <phoneticPr fontId="1"/>
  </si>
  <si>
    <t>資格の保持証明を行うためデジタルバッジの追加
※未調査。サイト登録など必要？</t>
    <rPh sb="0" eb="2">
      <t>シカク</t>
    </rPh>
    <rPh sb="3" eb="5">
      <t>ホジ</t>
    </rPh>
    <rPh sb="5" eb="7">
      <t>ショウメイ</t>
    </rPh>
    <rPh sb="8" eb="9">
      <t>オコナ</t>
    </rPh>
    <rPh sb="20" eb="22">
      <t>ツイカ</t>
    </rPh>
    <rPh sb="24" eb="27">
      <t>ミチョウサ</t>
    </rPh>
    <rPh sb="31" eb="33">
      <t>トウロク</t>
    </rPh>
    <rPh sb="35" eb="37">
      <t>ヒツヨウ</t>
    </rPh>
    <phoneticPr fontId="1"/>
  </si>
  <si>
    <t>デジタルバッジの掲載が難しい場合、学習時に実装したソースコードを掲載する。他言語の習得状況の証明。
・コメント付け
・リファクタリング</t>
    <rPh sb="8" eb="10">
      <t>ケイサイ</t>
    </rPh>
    <rPh sb="11" eb="12">
      <t>ムズカ</t>
    </rPh>
    <rPh sb="14" eb="16">
      <t>バアイ</t>
    </rPh>
    <rPh sb="17" eb="19">
      <t>ガクシュウ</t>
    </rPh>
    <rPh sb="19" eb="20">
      <t>ジ</t>
    </rPh>
    <rPh sb="21" eb="23">
      <t>ジッソウ</t>
    </rPh>
    <rPh sb="32" eb="34">
      <t>ケイサイ</t>
    </rPh>
    <rPh sb="37" eb="38">
      <t>ホカ</t>
    </rPh>
    <rPh sb="38" eb="40">
      <t>ゲンゴ</t>
    </rPh>
    <rPh sb="41" eb="43">
      <t>シュウトク</t>
    </rPh>
    <rPh sb="43" eb="45">
      <t>ジョウキョウ</t>
    </rPh>
    <rPh sb="46" eb="48">
      <t>ショウメイ</t>
    </rPh>
    <rPh sb="55" eb="56">
      <t>ヅ</t>
    </rPh>
    <phoneticPr fontId="1"/>
  </si>
  <si>
    <t>※１ ファイル数、機能数、項目数、消化数</t>
    <rPh sb="7" eb="8">
      <t>スウ</t>
    </rPh>
    <rPh sb="9" eb="11">
      <t>キノウ</t>
    </rPh>
    <rPh sb="11" eb="12">
      <t>スウ</t>
    </rPh>
    <rPh sb="13" eb="16">
      <t>コウモクスウ</t>
    </rPh>
    <rPh sb="17" eb="19">
      <t>ショウカ</t>
    </rPh>
    <rPh sb="19" eb="20">
      <t>スウ</t>
    </rPh>
    <phoneticPr fontId="1"/>
  </si>
  <si>
    <t>WBS作成所要時間 2h</t>
    <rPh sb="3" eb="5">
      <t>サクセイ</t>
    </rPh>
    <rPh sb="5" eb="7">
      <t>ショヨウ</t>
    </rPh>
    <rPh sb="7" eb="9">
      <t>ジカン</t>
    </rPh>
    <phoneticPr fontId="1"/>
  </si>
  <si>
    <t>架空銀行向けWebアプリ</t>
    <rPh sb="0" eb="2">
      <t>カクウ</t>
    </rPh>
    <rPh sb="2" eb="4">
      <t>ギンコウ</t>
    </rPh>
    <rPh sb="4" eb="5">
      <t>ム</t>
    </rPh>
    <phoneticPr fontId="1"/>
  </si>
  <si>
    <t>カスタムエラー画面作成</t>
    <rPh sb="7" eb="9">
      <t>ガメン</t>
    </rPh>
    <rPh sb="9" eb="11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</si>
</sst>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0"/>
      <name val="メイリオ"/>
      <family val="3"/>
      <charset val="128"/>
    </font>
    <font>
      <b/>
      <sz val="16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indexed="64"/>
      </bottom>
      <diagonal/>
    </border>
    <border>
      <left style="thin">
        <color theme="0" tint="-0.499984740745262"/>
      </left>
      <right/>
      <top/>
      <bottom style="double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49" fontId="2" fillId="0" borderId="2" xfId="0" applyNumberFormat="1" applyFont="1" applyBorder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2" borderId="11" xfId="0" applyFont="1" applyFill="1" applyBorder="1" applyAlignment="1">
      <alignment horizontal="centerContinuous" vertical="center"/>
    </xf>
    <xf numFmtId="0" fontId="5" fillId="2" borderId="12" xfId="0" applyFont="1" applyFill="1" applyBorder="1" applyAlignment="1">
      <alignment horizontal="centerContinuous" vertical="center"/>
    </xf>
    <xf numFmtId="0" fontId="5" fillId="2" borderId="10" xfId="0" applyFont="1" applyFill="1" applyBorder="1" applyAlignment="1">
      <alignment horizontal="centerContinuous" vertical="center"/>
    </xf>
    <xf numFmtId="176" fontId="2" fillId="0" borderId="3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49" fontId="2" fillId="0" borderId="3" xfId="0" applyNumberFormat="1" applyFont="1" applyBorder="1">
      <alignment vertical="center"/>
    </xf>
    <xf numFmtId="9" fontId="2" fillId="0" borderId="3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0" fontId="6" fillId="0" borderId="0" xfId="0" applyFont="1">
      <alignment vertical="center"/>
    </xf>
    <xf numFmtId="49" fontId="3" fillId="0" borderId="7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3" fillId="0" borderId="9" xfId="0" applyNumberFormat="1" applyFont="1" applyBorder="1" applyAlignment="1">
      <alignment vertical="center" wrapText="1"/>
    </xf>
    <xf numFmtId="0" fontId="2" fillId="0" borderId="5" xfId="0" applyFont="1" applyBorder="1">
      <alignment vertical="center"/>
    </xf>
    <xf numFmtId="22" fontId="2" fillId="0" borderId="0" xfId="0" applyNumberFormat="1" applyFont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49" fontId="2" fillId="0" borderId="2" xfId="0" applyNumberFormat="1" applyFont="1" applyFill="1" applyBorder="1">
      <alignment vertical="center"/>
    </xf>
  </cellXfs>
  <cellStyles count="1">
    <cellStyle name="標準" xfId="0" builtinId="0"/>
  </cellStyles>
  <dxfs count="2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13" formatCode="0%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176" formatCode="0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D8251E-0594-4E6A-B0EC-EDB781E6A459}" name="テーブル2" displayName="テーブル2" ref="B6:O28" totalsRowShown="0" headerRowDxfId="20" dataDxfId="18" headerRowBorderDxfId="19" tableBorderDxfId="17">
  <autoFilter ref="B6:O28" xr:uid="{B8D8251E-0594-4E6A-B0EC-EDB781E6A459}"/>
  <tableColumns count="14">
    <tableColumn id="1" xr3:uid="{CC7F0879-1CA0-45C0-9252-4769D93B8B06}" name="#" dataDxfId="16">
      <calculatedColumnFormula>ROW()-6</calculatedColumnFormula>
    </tableColumn>
    <tableColumn id="2" xr3:uid="{8D3EE553-2007-45FC-A30E-75B3D67B8AD5}" name="制作区分" dataDxfId="15"/>
    <tableColumn id="3" xr3:uid="{D3770B1B-2EF2-4BFA-ABB7-4A2AF139E100}" name="タスク" dataDxfId="14"/>
    <tableColumn id="4" xr3:uid="{D8236FB7-E612-4EE9-9263-257BC8CF7DFE}" name="詳細" dataDxfId="13"/>
    <tableColumn id="5" xr3:uid="{E5DC94F1-65DF-47AB-B41E-C7F119E09112}" name="実施数 ※１" dataDxfId="12"/>
    <tableColumn id="6" xr3:uid="{2F35C072-780D-4358-8D9B-EEAD931A0D75}" name="全量" dataDxfId="11"/>
    <tableColumn id="12" xr3:uid="{A1405209-9D3A-4BFC-94B0-73A016459EBE}" name="開始予定" dataDxfId="10"/>
    <tableColumn id="13" xr3:uid="{BD243E33-CFB4-4586-B8B5-BAF53CDA281B}" name="終了予定" dataDxfId="9"/>
    <tableColumn id="7" xr3:uid="{ED0F4A9D-FE65-46BF-9798-C6335579FBCC}" name="開始実績" dataDxfId="8"/>
    <tableColumn id="8" xr3:uid="{54E0BAC1-0588-494E-9DB7-86654CFC9241}" name="終了実績" dataDxfId="7"/>
    <tableColumn id="15" xr3:uid="{872666DF-4D67-4DBD-929C-5AB317C899F6}" name="工数見積(h)" dataDxfId="6"/>
    <tableColumn id="9" xr3:uid="{97D6DF4C-5D39-4768-A961-CE11DDFA24EA}" name="工数実績(h)" dataDxfId="5"/>
    <tableColumn id="10" xr3:uid="{3078DCD0-2D15-497D-B81C-394EF85108C7}" name="進捗率" dataDxfId="4">
      <calculatedColumnFormula>IFERROR(F7/G7,0)</calculatedColumnFormula>
    </tableColumn>
    <tableColumn id="11" xr3:uid="{E54921E0-398F-4319-8347-76EC67795E2C}" name="備考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C532-DBAA-4B6C-888D-F616FD624646}">
  <sheetPr>
    <pageSetUpPr fitToPage="1"/>
  </sheetPr>
  <dimension ref="B2:O35"/>
  <sheetViews>
    <sheetView showGridLines="0" tabSelected="1" view="pageBreakPreview" zoomScaleNormal="100" zoomScaleSheetLayoutView="100" workbookViewId="0">
      <pane ySplit="6" topLeftCell="A7" activePane="bottomLeft" state="frozen"/>
      <selection pane="bottomLeft"/>
    </sheetView>
  </sheetViews>
  <sheetFormatPr defaultRowHeight="18.75" x14ac:dyDescent="0.4"/>
  <cols>
    <col min="1" max="1" width="5.5" style="5" customWidth="1"/>
    <col min="2" max="2" width="5.125" style="5" customWidth="1"/>
    <col min="3" max="3" width="11.25" style="5" bestFit="1" customWidth="1"/>
    <col min="4" max="4" width="41" style="5" bestFit="1" customWidth="1"/>
    <col min="5" max="5" width="46.375" style="5" bestFit="1" customWidth="1"/>
    <col min="6" max="7" width="7.875" style="5" customWidth="1"/>
    <col min="8" max="8" width="13.5" style="5" customWidth="1"/>
    <col min="9" max="9" width="16.125" style="5" customWidth="1"/>
    <col min="10" max="13" width="13.875" style="5" customWidth="1"/>
    <col min="14" max="14" width="9.375" style="5" bestFit="1" customWidth="1"/>
    <col min="15" max="15" width="14.75" style="5" customWidth="1"/>
    <col min="16" max="16384" width="9" style="5"/>
  </cols>
  <sheetData>
    <row r="2" spans="2:15" ht="24.75" x14ac:dyDescent="0.4">
      <c r="B2" s="20" t="s">
        <v>24</v>
      </c>
      <c r="L2" s="5" t="s">
        <v>59</v>
      </c>
    </row>
    <row r="3" spans="2:15" x14ac:dyDescent="0.4">
      <c r="B3" s="5" t="s">
        <v>3</v>
      </c>
    </row>
    <row r="4" spans="2:15" x14ac:dyDescent="0.4">
      <c r="B4" s="4" t="s">
        <v>52</v>
      </c>
    </row>
    <row r="5" spans="2:15" x14ac:dyDescent="0.4">
      <c r="H5" s="6" t="s">
        <v>21</v>
      </c>
      <c r="I5" s="7"/>
      <c r="J5" s="8"/>
      <c r="K5" s="7"/>
      <c r="L5" s="7"/>
      <c r="M5" s="8"/>
    </row>
    <row r="6" spans="2:15" ht="38.25" thickBot="1" x14ac:dyDescent="0.45">
      <c r="B6" s="21" t="s">
        <v>0</v>
      </c>
      <c r="C6" s="22" t="s">
        <v>5</v>
      </c>
      <c r="D6" s="22" t="s">
        <v>2</v>
      </c>
      <c r="E6" s="22" t="s">
        <v>9</v>
      </c>
      <c r="F6" s="22" t="s">
        <v>8</v>
      </c>
      <c r="G6" s="22" t="s">
        <v>7</v>
      </c>
      <c r="H6" s="22" t="s">
        <v>17</v>
      </c>
      <c r="I6" s="22" t="s">
        <v>18</v>
      </c>
      <c r="J6" s="22" t="s">
        <v>19</v>
      </c>
      <c r="K6" s="22" t="s">
        <v>20</v>
      </c>
      <c r="L6" s="22" t="s">
        <v>29</v>
      </c>
      <c r="M6" s="22" t="s">
        <v>30</v>
      </c>
      <c r="N6" s="22" t="s">
        <v>4</v>
      </c>
      <c r="O6" s="23" t="s">
        <v>1</v>
      </c>
    </row>
    <row r="7" spans="2:15" ht="19.5" thickTop="1" x14ac:dyDescent="0.4">
      <c r="B7" s="24">
        <f>ROW()-6</f>
        <v>1</v>
      </c>
      <c r="C7" s="9">
        <v>1</v>
      </c>
      <c r="D7" s="10" t="s">
        <v>6</v>
      </c>
      <c r="E7" s="10"/>
      <c r="F7" s="28">
        <v>4</v>
      </c>
      <c r="G7" s="26">
        <v>4</v>
      </c>
      <c r="H7" s="11" t="s">
        <v>13</v>
      </c>
      <c r="I7" s="11" t="s">
        <v>13</v>
      </c>
      <c r="J7" s="10"/>
      <c r="K7" s="11"/>
      <c r="L7" s="26"/>
      <c r="M7" s="26"/>
      <c r="N7" s="12">
        <f t="shared" ref="N7:N28" si="0">IFERROR(F7/G7,0)</f>
        <v>1</v>
      </c>
      <c r="O7" s="13"/>
    </row>
    <row r="8" spans="2:15" x14ac:dyDescent="0.4">
      <c r="B8" s="24">
        <f t="shared" ref="B8:B28" si="1">ROW()-6</f>
        <v>2</v>
      </c>
      <c r="C8" s="9">
        <v>1</v>
      </c>
      <c r="D8" s="10" t="s">
        <v>14</v>
      </c>
      <c r="E8" s="10" t="s">
        <v>46</v>
      </c>
      <c r="F8" s="28">
        <v>0</v>
      </c>
      <c r="G8" s="26">
        <v>1</v>
      </c>
      <c r="H8" s="11" t="s">
        <v>13</v>
      </c>
      <c r="I8" s="11" t="s">
        <v>13</v>
      </c>
      <c r="J8" s="10"/>
      <c r="K8" s="11"/>
      <c r="L8" s="26">
        <v>1</v>
      </c>
      <c r="M8" s="26"/>
      <c r="N8" s="12">
        <f t="shared" si="0"/>
        <v>0</v>
      </c>
      <c r="O8" s="13" t="s">
        <v>47</v>
      </c>
    </row>
    <row r="9" spans="2:15" x14ac:dyDescent="0.4">
      <c r="B9" s="24">
        <f t="shared" si="1"/>
        <v>3</v>
      </c>
      <c r="C9" s="9">
        <v>1</v>
      </c>
      <c r="D9" s="10" t="s">
        <v>15</v>
      </c>
      <c r="E9" s="10" t="s">
        <v>45</v>
      </c>
      <c r="F9" s="28">
        <v>0</v>
      </c>
      <c r="G9" s="26">
        <v>1</v>
      </c>
      <c r="H9" s="11" t="s">
        <v>13</v>
      </c>
      <c r="I9" s="11" t="s">
        <v>13</v>
      </c>
      <c r="J9" s="10"/>
      <c r="K9" s="11"/>
      <c r="L9" s="26">
        <v>2</v>
      </c>
      <c r="M9" s="26"/>
      <c r="N9" s="12">
        <f t="shared" si="0"/>
        <v>0</v>
      </c>
      <c r="O9" s="13" t="s">
        <v>47</v>
      </c>
    </row>
    <row r="10" spans="2:15" ht="37.5" x14ac:dyDescent="0.4">
      <c r="B10" s="24">
        <f t="shared" si="1"/>
        <v>4</v>
      </c>
      <c r="C10" s="9">
        <v>1</v>
      </c>
      <c r="D10" s="10" t="s">
        <v>32</v>
      </c>
      <c r="E10" s="10" t="s">
        <v>37</v>
      </c>
      <c r="F10" s="28">
        <v>0</v>
      </c>
      <c r="G10" s="26">
        <v>10</v>
      </c>
      <c r="H10" s="11" t="s">
        <v>13</v>
      </c>
      <c r="I10" s="11" t="s">
        <v>13</v>
      </c>
      <c r="J10" s="10"/>
      <c r="K10" s="11"/>
      <c r="L10" s="26">
        <v>1</v>
      </c>
      <c r="M10" s="26"/>
      <c r="N10" s="12">
        <f t="shared" si="0"/>
        <v>0</v>
      </c>
      <c r="O10" s="13" t="s">
        <v>47</v>
      </c>
    </row>
    <row r="11" spans="2:15" x14ac:dyDescent="0.4">
      <c r="B11" s="24">
        <f t="shared" si="1"/>
        <v>5</v>
      </c>
      <c r="C11" s="9">
        <v>1</v>
      </c>
      <c r="D11" s="10" t="s">
        <v>33</v>
      </c>
      <c r="E11" s="10" t="s">
        <v>36</v>
      </c>
      <c r="F11" s="28">
        <v>0</v>
      </c>
      <c r="G11" s="26">
        <v>10</v>
      </c>
      <c r="H11" s="11" t="s">
        <v>13</v>
      </c>
      <c r="I11" s="11" t="s">
        <v>13</v>
      </c>
      <c r="J11" s="10"/>
      <c r="K11" s="11"/>
      <c r="L11" s="26">
        <v>1</v>
      </c>
      <c r="M11" s="26"/>
      <c r="N11" s="12">
        <f t="shared" si="0"/>
        <v>0</v>
      </c>
      <c r="O11" s="13" t="s">
        <v>47</v>
      </c>
    </row>
    <row r="12" spans="2:15" ht="37.5" x14ac:dyDescent="0.4">
      <c r="B12" s="24">
        <f t="shared" si="1"/>
        <v>6</v>
      </c>
      <c r="C12" s="9">
        <v>1</v>
      </c>
      <c r="D12" s="10" t="s">
        <v>28</v>
      </c>
      <c r="E12" s="10" t="s">
        <v>16</v>
      </c>
      <c r="F12" s="28">
        <v>0</v>
      </c>
      <c r="G12" s="26">
        <v>10</v>
      </c>
      <c r="H12" s="11" t="s">
        <v>13</v>
      </c>
      <c r="I12" s="11" t="s">
        <v>13</v>
      </c>
      <c r="J12" s="10"/>
      <c r="K12" s="11"/>
      <c r="L12" s="26">
        <v>0.25</v>
      </c>
      <c r="M12" s="26"/>
      <c r="N12" s="12">
        <f t="shared" si="0"/>
        <v>0</v>
      </c>
      <c r="O12" s="13" t="s">
        <v>47</v>
      </c>
    </row>
    <row r="13" spans="2:15" x14ac:dyDescent="0.4">
      <c r="B13" s="24">
        <f t="shared" si="1"/>
        <v>7</v>
      </c>
      <c r="C13" s="14">
        <v>2</v>
      </c>
      <c r="D13" s="3" t="s">
        <v>6</v>
      </c>
      <c r="E13" s="3"/>
      <c r="F13" s="27">
        <v>4</v>
      </c>
      <c r="G13" s="27">
        <v>4</v>
      </c>
      <c r="H13" s="15" t="s">
        <v>13</v>
      </c>
      <c r="I13" s="15" t="s">
        <v>13</v>
      </c>
      <c r="J13" s="15"/>
      <c r="K13" s="15"/>
      <c r="L13" s="27">
        <v>0.25</v>
      </c>
      <c r="M13" s="27"/>
      <c r="N13" s="12">
        <f t="shared" si="0"/>
        <v>1</v>
      </c>
      <c r="O13" s="16"/>
    </row>
    <row r="14" spans="2:15" ht="37.5" x14ac:dyDescent="0.4">
      <c r="B14" s="24">
        <f t="shared" si="1"/>
        <v>8</v>
      </c>
      <c r="C14" s="14">
        <v>3</v>
      </c>
      <c r="D14" s="3" t="s">
        <v>25</v>
      </c>
      <c r="E14" s="3" t="s">
        <v>38</v>
      </c>
      <c r="F14" s="27">
        <v>0</v>
      </c>
      <c r="G14" s="27">
        <v>1</v>
      </c>
      <c r="H14" s="15" t="s">
        <v>13</v>
      </c>
      <c r="I14" s="15" t="s">
        <v>13</v>
      </c>
      <c r="J14" s="15"/>
      <c r="K14" s="15"/>
      <c r="L14" s="27">
        <v>4</v>
      </c>
      <c r="M14" s="27"/>
      <c r="N14" s="12">
        <f t="shared" si="0"/>
        <v>0</v>
      </c>
      <c r="O14" s="16"/>
    </row>
    <row r="15" spans="2:15" ht="75" x14ac:dyDescent="0.4">
      <c r="B15" s="24">
        <f t="shared" si="1"/>
        <v>9</v>
      </c>
      <c r="C15" s="14">
        <v>3</v>
      </c>
      <c r="D15" s="3" t="s">
        <v>26</v>
      </c>
      <c r="E15" s="3" t="s">
        <v>43</v>
      </c>
      <c r="F15" s="27">
        <v>0</v>
      </c>
      <c r="G15" s="27">
        <v>6</v>
      </c>
      <c r="H15" s="15" t="s">
        <v>13</v>
      </c>
      <c r="I15" s="15" t="s">
        <v>13</v>
      </c>
      <c r="J15" s="15"/>
      <c r="K15" s="15"/>
      <c r="L15" s="27">
        <v>8</v>
      </c>
      <c r="M15" s="27"/>
      <c r="N15" s="12">
        <f t="shared" si="0"/>
        <v>0</v>
      </c>
      <c r="O15" s="16"/>
    </row>
    <row r="16" spans="2:15" ht="56.25" x14ac:dyDescent="0.4">
      <c r="B16" s="24">
        <f t="shared" si="1"/>
        <v>10</v>
      </c>
      <c r="C16" s="14">
        <v>3</v>
      </c>
      <c r="D16" s="3" t="s">
        <v>31</v>
      </c>
      <c r="E16" s="3" t="s">
        <v>44</v>
      </c>
      <c r="F16" s="27">
        <v>0</v>
      </c>
      <c r="G16" s="27">
        <v>10</v>
      </c>
      <c r="H16" s="15" t="s">
        <v>13</v>
      </c>
      <c r="I16" s="15" t="s">
        <v>13</v>
      </c>
      <c r="J16" s="15"/>
      <c r="K16" s="15"/>
      <c r="L16" s="27">
        <v>2</v>
      </c>
      <c r="M16" s="27"/>
      <c r="N16" s="12">
        <f t="shared" si="0"/>
        <v>0</v>
      </c>
      <c r="O16" s="16"/>
    </row>
    <row r="17" spans="2:15" x14ac:dyDescent="0.4">
      <c r="B17" s="24">
        <f t="shared" si="1"/>
        <v>11</v>
      </c>
      <c r="C17" s="14">
        <v>3</v>
      </c>
      <c r="D17" s="3" t="s">
        <v>34</v>
      </c>
      <c r="E17" s="3" t="s">
        <v>36</v>
      </c>
      <c r="F17" s="27">
        <v>0</v>
      </c>
      <c r="G17" s="27">
        <v>10</v>
      </c>
      <c r="H17" s="15" t="s">
        <v>13</v>
      </c>
      <c r="I17" s="15" t="s">
        <v>13</v>
      </c>
      <c r="J17" s="15"/>
      <c r="K17" s="15"/>
      <c r="L17" s="27">
        <v>2</v>
      </c>
      <c r="M17" s="27"/>
      <c r="N17" s="12">
        <f t="shared" si="0"/>
        <v>0</v>
      </c>
      <c r="O17" s="16"/>
    </row>
    <row r="18" spans="2:15" x14ac:dyDescent="0.4">
      <c r="B18" s="24">
        <f t="shared" si="1"/>
        <v>12</v>
      </c>
      <c r="C18" s="14">
        <v>3</v>
      </c>
      <c r="D18" s="3" t="s">
        <v>27</v>
      </c>
      <c r="E18" s="3" t="s">
        <v>42</v>
      </c>
      <c r="F18" s="27">
        <v>0</v>
      </c>
      <c r="G18" s="27">
        <v>1</v>
      </c>
      <c r="H18" s="15" t="s">
        <v>13</v>
      </c>
      <c r="I18" s="15" t="s">
        <v>13</v>
      </c>
      <c r="J18" s="15"/>
      <c r="K18" s="15"/>
      <c r="L18" s="27"/>
      <c r="M18" s="27"/>
      <c r="N18" s="12">
        <f t="shared" si="0"/>
        <v>0</v>
      </c>
      <c r="O18" s="16"/>
    </row>
    <row r="19" spans="2:15" x14ac:dyDescent="0.4">
      <c r="B19" s="24">
        <f t="shared" si="1"/>
        <v>13</v>
      </c>
      <c r="C19" s="14">
        <v>3</v>
      </c>
      <c r="D19" s="3" t="s">
        <v>40</v>
      </c>
      <c r="E19" s="3" t="s">
        <v>41</v>
      </c>
      <c r="F19" s="27">
        <v>0</v>
      </c>
      <c r="G19" s="27">
        <v>4</v>
      </c>
      <c r="H19" s="15" t="s">
        <v>13</v>
      </c>
      <c r="I19" s="15" t="s">
        <v>13</v>
      </c>
      <c r="J19" s="15"/>
      <c r="K19" s="15"/>
      <c r="L19" s="27"/>
      <c r="M19" s="27"/>
      <c r="N19" s="12">
        <f t="shared" si="0"/>
        <v>0</v>
      </c>
      <c r="O19" s="16"/>
    </row>
    <row r="20" spans="2:15" ht="75" x14ac:dyDescent="0.4">
      <c r="B20" s="24">
        <f>ROW()-6</f>
        <v>14</v>
      </c>
      <c r="C20" s="14">
        <v>4</v>
      </c>
      <c r="D20" s="3" t="s">
        <v>48</v>
      </c>
      <c r="E20" s="3" t="s">
        <v>55</v>
      </c>
      <c r="F20" s="27">
        <v>0</v>
      </c>
      <c r="G20" s="27">
        <v>1</v>
      </c>
      <c r="H20" s="15" t="s">
        <v>13</v>
      </c>
      <c r="I20" s="15" t="s">
        <v>13</v>
      </c>
      <c r="J20" s="15"/>
      <c r="K20" s="15"/>
      <c r="L20" s="27">
        <v>4</v>
      </c>
      <c r="M20" s="27"/>
      <c r="N20" s="12">
        <f t="shared" si="0"/>
        <v>0</v>
      </c>
      <c r="O20" s="16"/>
    </row>
    <row r="21" spans="2:15" x14ac:dyDescent="0.4">
      <c r="B21" s="24">
        <f>ROW()-6</f>
        <v>15</v>
      </c>
      <c r="C21" s="14">
        <v>4</v>
      </c>
      <c r="D21" s="3" t="s">
        <v>49</v>
      </c>
      <c r="E21" s="3" t="s">
        <v>39</v>
      </c>
      <c r="F21" s="27">
        <v>0</v>
      </c>
      <c r="G21" s="27">
        <v>4</v>
      </c>
      <c r="H21" s="15" t="s">
        <v>13</v>
      </c>
      <c r="I21" s="15" t="s">
        <v>13</v>
      </c>
      <c r="J21" s="15"/>
      <c r="K21" s="15"/>
      <c r="L21" s="27">
        <v>8</v>
      </c>
      <c r="M21" s="27"/>
      <c r="N21" s="12">
        <f t="shared" si="0"/>
        <v>0</v>
      </c>
      <c r="O21" s="16"/>
    </row>
    <row r="22" spans="2:15" ht="37.5" x14ac:dyDescent="0.4">
      <c r="B22" s="24">
        <f>ROW()-6</f>
        <v>16</v>
      </c>
      <c r="C22" s="14">
        <v>4</v>
      </c>
      <c r="D22" s="3" t="s">
        <v>50</v>
      </c>
      <c r="E22" s="3" t="s">
        <v>35</v>
      </c>
      <c r="F22" s="27">
        <v>0</v>
      </c>
      <c r="G22" s="27">
        <v>10</v>
      </c>
      <c r="H22" s="15" t="s">
        <v>13</v>
      </c>
      <c r="I22" s="15" t="s">
        <v>13</v>
      </c>
      <c r="J22" s="15"/>
      <c r="K22" s="15"/>
      <c r="L22" s="27">
        <v>1</v>
      </c>
      <c r="M22" s="27"/>
      <c r="N22" s="12">
        <f t="shared" si="0"/>
        <v>0</v>
      </c>
      <c r="O22" s="16"/>
    </row>
    <row r="23" spans="2:15" ht="37.5" x14ac:dyDescent="0.4">
      <c r="B23" s="24">
        <f>ROW()-6</f>
        <v>17</v>
      </c>
      <c r="C23" s="14">
        <v>4</v>
      </c>
      <c r="D23" s="3" t="s">
        <v>51</v>
      </c>
      <c r="E23" s="3" t="s">
        <v>36</v>
      </c>
      <c r="F23" s="27">
        <v>0</v>
      </c>
      <c r="G23" s="27">
        <v>10</v>
      </c>
      <c r="H23" s="15" t="s">
        <v>13</v>
      </c>
      <c r="I23" s="15" t="s">
        <v>13</v>
      </c>
      <c r="J23" s="15"/>
      <c r="K23" s="15"/>
      <c r="L23" s="27">
        <v>1</v>
      </c>
      <c r="M23" s="27"/>
      <c r="N23" s="12">
        <f t="shared" si="0"/>
        <v>0</v>
      </c>
      <c r="O23" s="16"/>
    </row>
    <row r="24" spans="2:15" ht="37.5" x14ac:dyDescent="0.4">
      <c r="B24" s="24">
        <f>ROW()-6</f>
        <v>18</v>
      </c>
      <c r="C24" s="14">
        <v>4</v>
      </c>
      <c r="D24" s="3" t="s">
        <v>53</v>
      </c>
      <c r="E24" s="3" t="s">
        <v>54</v>
      </c>
      <c r="F24" s="27">
        <v>0</v>
      </c>
      <c r="G24" s="27">
        <v>1</v>
      </c>
      <c r="H24" s="15" t="s">
        <v>13</v>
      </c>
      <c r="I24" s="15" t="s">
        <v>13</v>
      </c>
      <c r="J24" s="15"/>
      <c r="K24" s="15"/>
      <c r="L24" s="27">
        <v>1</v>
      </c>
      <c r="M24" s="27"/>
      <c r="N24" s="12">
        <f t="shared" si="0"/>
        <v>0</v>
      </c>
      <c r="O24" s="16"/>
    </row>
    <row r="25" spans="2:15" ht="37.5" x14ac:dyDescent="0.4">
      <c r="B25" s="24">
        <f t="shared" si="1"/>
        <v>19</v>
      </c>
      <c r="C25" s="14" t="s">
        <v>10</v>
      </c>
      <c r="D25" s="3" t="s">
        <v>11</v>
      </c>
      <c r="E25" s="3" t="s">
        <v>56</v>
      </c>
      <c r="F25" s="27">
        <v>0</v>
      </c>
      <c r="G25" s="27">
        <v>1</v>
      </c>
      <c r="H25" s="15" t="s">
        <v>13</v>
      </c>
      <c r="I25" s="15" t="s">
        <v>13</v>
      </c>
      <c r="J25" s="15"/>
      <c r="K25" s="15"/>
      <c r="L25" s="27">
        <v>2</v>
      </c>
      <c r="M25" s="27"/>
      <c r="N25" s="12">
        <f t="shared" si="0"/>
        <v>0</v>
      </c>
      <c r="O25" s="16"/>
    </row>
    <row r="26" spans="2:15" ht="37.5" x14ac:dyDescent="0.4">
      <c r="B26" s="24">
        <f t="shared" si="1"/>
        <v>20</v>
      </c>
      <c r="C26" s="14" t="s">
        <v>10</v>
      </c>
      <c r="D26" s="3" t="s">
        <v>12</v>
      </c>
      <c r="E26" s="3" t="s">
        <v>22</v>
      </c>
      <c r="F26" s="27">
        <v>0</v>
      </c>
      <c r="G26" s="27">
        <v>1</v>
      </c>
      <c r="H26" s="15" t="s">
        <v>13</v>
      </c>
      <c r="I26" s="15" t="s">
        <v>13</v>
      </c>
      <c r="J26" s="15"/>
      <c r="K26" s="15"/>
      <c r="L26" s="27">
        <v>2</v>
      </c>
      <c r="M26" s="27"/>
      <c r="N26" s="12">
        <f t="shared" si="0"/>
        <v>0</v>
      </c>
      <c r="O26" s="16"/>
    </row>
    <row r="27" spans="2:15" ht="93.75" x14ac:dyDescent="0.4">
      <c r="B27" s="24">
        <f t="shared" si="1"/>
        <v>21</v>
      </c>
      <c r="C27" s="14" t="s">
        <v>10</v>
      </c>
      <c r="D27" s="3" t="s">
        <v>23</v>
      </c>
      <c r="E27" s="3" t="s">
        <v>57</v>
      </c>
      <c r="F27" s="27">
        <v>0</v>
      </c>
      <c r="G27" s="27">
        <v>1</v>
      </c>
      <c r="H27" s="15" t="s">
        <v>13</v>
      </c>
      <c r="I27" s="15" t="s">
        <v>13</v>
      </c>
      <c r="J27" s="15"/>
      <c r="K27" s="15"/>
      <c r="L27" s="27">
        <v>4</v>
      </c>
      <c r="M27" s="27"/>
      <c r="N27" s="12">
        <f t="shared" si="0"/>
        <v>0</v>
      </c>
      <c r="O27" s="16"/>
    </row>
    <row r="28" spans="2:15" x14ac:dyDescent="0.4">
      <c r="B28" s="24">
        <f t="shared" si="1"/>
        <v>22</v>
      </c>
      <c r="C28" s="14">
        <v>5</v>
      </c>
      <c r="D28" s="29" t="s">
        <v>60</v>
      </c>
      <c r="E28" s="3" t="s">
        <v>61</v>
      </c>
      <c r="F28" s="27"/>
      <c r="G28" s="27"/>
      <c r="H28" s="15"/>
      <c r="I28" s="15"/>
      <c r="J28" s="15"/>
      <c r="K28" s="15"/>
      <c r="L28" s="15"/>
      <c r="M28" s="15"/>
      <c r="N28" s="12">
        <f t="shared" si="0"/>
        <v>0</v>
      </c>
      <c r="O28" s="16"/>
    </row>
    <row r="29" spans="2:15" x14ac:dyDescent="0.4">
      <c r="B29" s="17" t="s">
        <v>58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17"/>
    </row>
    <row r="30" spans="2:15" x14ac:dyDescent="0.4">
      <c r="B30" s="5" t="str">
        <f ca="1">_xlfn.CONCAT("PDF出力・印刷日："&amp;TEXT(TODAY(),"YYYY/MM/DD"))</f>
        <v>PDF出力・印刷日：2026/01/12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  <c r="O30" s="17"/>
    </row>
    <row r="31" spans="2:15" x14ac:dyDescent="0.4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17"/>
    </row>
    <row r="33" spans="12:15" x14ac:dyDescent="0.4">
      <c r="O33" s="19"/>
    </row>
    <row r="35" spans="12:15" x14ac:dyDescent="0.4">
      <c r="L35" s="25"/>
    </row>
  </sheetData>
  <phoneticPr fontId="1"/>
  <conditionalFormatting sqref="B7:O24 B25:G26 I25:O26 B27:O27 B29:O162 E28:O28 B28:C28">
    <cfRule type="expression" dxfId="2" priority="3">
      <formula>$N7=1</formula>
    </cfRule>
  </conditionalFormatting>
  <conditionalFormatting sqref="H25">
    <cfRule type="expression" dxfId="1" priority="5">
      <formula>$N26=1</formula>
    </cfRule>
  </conditionalFormatting>
  <conditionalFormatting sqref="H26">
    <cfRule type="expression" dxfId="0" priority="1">
      <formula>$N26=1</formula>
    </cfRule>
  </conditionalFormatting>
  <pageMargins left="0.70866141732283472" right="0.70866141732283472" top="0.74803149606299213" bottom="0.74803149606299213" header="0.31496062992125984" footer="0.31496062992125984"/>
  <pageSetup scale="48" fitToHeight="0" orientation="landscape" r:id="rId1"/>
  <headerFooter>
    <oddFooter>&amp;P / &amp;N ページ</oddFooter>
  </headerFooter>
  <rowBreaks count="1" manualBreakCount="1">
    <brk id="31" max="14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E0C8-C223-421E-8F54-0A94B0AE88FE}">
  <dimension ref="A1:C11"/>
  <sheetViews>
    <sheetView workbookViewId="0"/>
  </sheetViews>
  <sheetFormatPr defaultRowHeight="18.75" x14ac:dyDescent="0.4"/>
  <sheetData>
    <row r="1" spans="1:3" x14ac:dyDescent="0.4">
      <c r="A1" s="2"/>
      <c r="B1" s="2"/>
      <c r="C1" s="1"/>
    </row>
    <row r="2" spans="1:3" x14ac:dyDescent="0.4">
      <c r="A2" s="2"/>
      <c r="B2" s="2"/>
      <c r="C2" s="1"/>
    </row>
    <row r="3" spans="1:3" x14ac:dyDescent="0.4">
      <c r="A3" s="2"/>
      <c r="B3" s="2"/>
      <c r="C3" s="1"/>
    </row>
    <row r="4" spans="1:3" x14ac:dyDescent="0.4">
      <c r="A4" s="2"/>
      <c r="B4" s="2"/>
      <c r="C4" s="1"/>
    </row>
    <row r="5" spans="1:3" x14ac:dyDescent="0.4">
      <c r="A5" s="2"/>
      <c r="B5" s="2"/>
      <c r="C5" s="1"/>
    </row>
    <row r="6" spans="1:3" x14ac:dyDescent="0.4">
      <c r="A6" s="2"/>
      <c r="B6" s="2"/>
      <c r="C6" s="1"/>
    </row>
    <row r="7" spans="1:3" x14ac:dyDescent="0.4">
      <c r="A7" s="2"/>
      <c r="B7" s="2"/>
      <c r="C7" s="1"/>
    </row>
    <row r="8" spans="1:3" x14ac:dyDescent="0.4">
      <c r="A8" s="2"/>
      <c r="B8" s="2"/>
      <c r="C8" s="1"/>
    </row>
    <row r="9" spans="1:3" x14ac:dyDescent="0.4">
      <c r="A9" s="2"/>
      <c r="B9" s="2"/>
      <c r="C9" s="1"/>
    </row>
    <row r="10" spans="1:3" x14ac:dyDescent="0.4">
      <c r="A10" s="2"/>
      <c r="B10" s="2"/>
      <c r="C10" s="1"/>
    </row>
    <row r="11" spans="1:3" x14ac:dyDescent="0.4">
      <c r="A11" s="2"/>
      <c r="B11" s="2"/>
      <c r="C11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WBS</vt:lpstr>
      <vt:lpstr>Sheet1</vt:lpstr>
      <vt:lpstr>WBS!Print_Area</vt:lpstr>
      <vt:lpstr>WBS!Print_Titles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慶太 神部</dc:creator>
  <cp:lastModifiedBy>慶太 神部</cp:lastModifiedBy>
  <cp:lastPrinted>2026-01-02T13:36:42Z</cp:lastPrinted>
  <dcterms:created xsi:type="dcterms:W3CDTF">2025-12-29T03:03:06Z</dcterms:created>
  <dcterms:modified xsi:type="dcterms:W3CDTF">2026-01-12T09:18:39Z</dcterms:modified>
</cp:coreProperties>
</file>