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portfolio\04_Work_Schedule\"/>
    </mc:Choice>
  </mc:AlternateContent>
  <xr:revisionPtr revIDLastSave="0" documentId="13_ncr:1_{38BB45CC-8FBB-49E9-8A71-F1385B667EA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マスタ" sheetId="1" r:id="rId1"/>
    <sheet name="勤務表(2026年2月)" sheetId="6" r:id="rId2"/>
    <sheet name="ダミー報告書" sheetId="3" r:id="rId3"/>
  </sheets>
  <definedNames>
    <definedName name="_xlnm._FilterDatabase" localSheetId="1" hidden="1">'勤務表(2026年2月)'!$A$4:$I$39</definedName>
    <definedName name="_xlnm.Print_Area" localSheetId="2">ダミー報告書!$A$1:$K$48</definedName>
    <definedName name="_xlnm.Print_Area" localSheetId="1">'勤務表(2026年2月)'!$A$1:$I$38</definedName>
    <definedName name="金額">#REF!</definedName>
    <definedName name="交通機関">#REF!</definedName>
    <definedName name="行先">#REF!</definedName>
    <definedName name="氏名">#REF!</definedName>
    <definedName name="出発地">#REF!</definedName>
    <definedName name="証票">#REF!</definedName>
    <definedName name="申請日">#REF!</definedName>
    <definedName name="摘要">#REF!</definedName>
    <definedName name="到着地">#REF!</definedName>
    <definedName name="日付">#REF!</definedName>
    <definedName name="片往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6" i="6" l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5" i="6"/>
  <c r="H37" i="6" l="1"/>
  <c r="D9" i="1"/>
  <c r="D12" i="1" s="1"/>
  <c r="D14" i="1" l="1"/>
  <c r="D17" i="1" s="1"/>
  <c r="C38" i="6"/>
  <c r="I36" i="6" l="1"/>
</calcChain>
</file>

<file path=xl/sharedStrings.xml><?xml version="1.0" encoding="utf-8"?>
<sst xmlns="http://schemas.openxmlformats.org/spreadsheetml/2006/main" count="42" uniqueCount="36">
  <si>
    <t>合計</t>
    <rPh sb="0" eb="2">
      <t>ゴウケイ</t>
    </rPh>
    <phoneticPr fontId="3"/>
  </si>
  <si>
    <t>勤務日数</t>
    <rPh sb="0" eb="2">
      <t>キンム</t>
    </rPh>
    <rPh sb="2" eb="4">
      <t>ニッスウ</t>
    </rPh>
    <phoneticPr fontId="3"/>
  </si>
  <si>
    <t>氏名</t>
    <phoneticPr fontId="5"/>
  </si>
  <si>
    <t>日付</t>
    <rPh sb="0" eb="2">
      <t>ヒヅケ</t>
    </rPh>
    <phoneticPr fontId="2"/>
  </si>
  <si>
    <t>シート名</t>
    <rPh sb="3" eb="4">
      <t>メイ</t>
    </rPh>
    <phoneticPr fontId="2"/>
  </si>
  <si>
    <t>申請月最終日</t>
    <rPh sb="0" eb="2">
      <t>シンセイ</t>
    </rPh>
    <rPh sb="2" eb="3">
      <t>ツキ</t>
    </rPh>
    <rPh sb="3" eb="6">
      <t>サイシュウビ</t>
    </rPh>
    <phoneticPr fontId="2"/>
  </si>
  <si>
    <t>休憩時間</t>
    <rPh sb="0" eb="2">
      <t>キュウケイ</t>
    </rPh>
    <rPh sb="2" eb="4">
      <t>ジカン</t>
    </rPh>
    <phoneticPr fontId="2"/>
  </si>
  <si>
    <t>変数名(英語)</t>
    <rPh sb="0" eb="3">
      <t>ヘンスウメイ</t>
    </rPh>
    <rPh sb="4" eb="6">
      <t>エイゴ</t>
    </rPh>
    <phoneticPr fontId="2"/>
  </si>
  <si>
    <t>変数名(日本語)</t>
    <rPh sb="0" eb="3">
      <t>ヘンスウメイ</t>
    </rPh>
    <rPh sb="4" eb="7">
      <t>ニホンゴ</t>
    </rPh>
    <phoneticPr fontId="2"/>
  </si>
  <si>
    <t>設定値</t>
    <rPh sb="0" eb="2">
      <t>セッテイ</t>
    </rPh>
    <rPh sb="2" eb="3">
      <t>アタイ</t>
    </rPh>
    <phoneticPr fontId="2"/>
  </si>
  <si>
    <t>month</t>
    <phoneticPr fontId="2"/>
  </si>
  <si>
    <t>勤務開始時間</t>
    <rPh sb="0" eb="2">
      <t>キンム</t>
    </rPh>
    <rPh sb="2" eb="4">
      <t>カイシ</t>
    </rPh>
    <rPh sb="4" eb="6">
      <t>ジカン</t>
    </rPh>
    <phoneticPr fontId="2"/>
  </si>
  <si>
    <t>勤務終了時間</t>
    <rPh sb="0" eb="2">
      <t>キンム</t>
    </rPh>
    <rPh sb="2" eb="4">
      <t>シュウリョウ</t>
    </rPh>
    <rPh sb="4" eb="6">
      <t>ジカン</t>
    </rPh>
    <phoneticPr fontId="2"/>
  </si>
  <si>
    <t>sheetsName</t>
    <phoneticPr fontId="2"/>
  </si>
  <si>
    <t>startTime</t>
    <phoneticPr fontId="2"/>
  </si>
  <si>
    <t>endTime</t>
    <phoneticPr fontId="2"/>
  </si>
  <si>
    <t>breakTime</t>
    <phoneticPr fontId="2"/>
  </si>
  <si>
    <t>lastDay</t>
    <phoneticPr fontId="2"/>
  </si>
  <si>
    <t>クローズフラグ</t>
    <phoneticPr fontId="2"/>
  </si>
  <si>
    <t>closeFlag</t>
    <phoneticPr fontId="2"/>
  </si>
  <si>
    <t>ブックオープン</t>
    <phoneticPr fontId="2"/>
  </si>
  <si>
    <t>openFlag</t>
    <phoneticPr fontId="2"/>
  </si>
  <si>
    <t>フォルダー</t>
    <phoneticPr fontId="2"/>
  </si>
  <si>
    <t>folder</t>
    <phoneticPr fontId="2"/>
  </si>
  <si>
    <t>ダミー列</t>
    <rPh sb="3" eb="4">
      <t>レツ</t>
    </rPh>
    <phoneticPr fontId="2"/>
  </si>
  <si>
    <t>月</t>
    <rPh sb="0" eb="1">
      <t>ツキ</t>
    </rPh>
    <phoneticPr fontId="2"/>
  </si>
  <si>
    <t>ダミー報告書（サンプル）</t>
    <rPh sb="3" eb="6">
      <t>ホウコクショ</t>
    </rPh>
    <phoneticPr fontId="2"/>
  </si>
  <si>
    <t>１．月を設定します</t>
    <rPh sb="2" eb="3">
      <t>ツキ</t>
    </rPh>
    <rPh sb="4" eb="6">
      <t>セッテイ</t>
    </rPh>
    <phoneticPr fontId="2"/>
  </si>
  <si>
    <t>２．パラメータを設定します</t>
    <rPh sb="8" eb="10">
      <t>セッテイ</t>
    </rPh>
    <phoneticPr fontId="2"/>
  </si>
  <si>
    <t>３．勤怠初期化ボタンを押します</t>
    <rPh sb="2" eb="4">
      <t>キンタイ</t>
    </rPh>
    <rPh sb="4" eb="7">
      <t>ショキカ</t>
    </rPh>
    <rPh sb="11" eb="12">
      <t>オ</t>
    </rPh>
    <phoneticPr fontId="2"/>
  </si>
  <si>
    <t>パラメータ設定エリア</t>
    <rPh sb="5" eb="7">
      <t>セッテイ</t>
    </rPh>
    <phoneticPr fontId="2"/>
  </si>
  <si>
    <t>記入日</t>
    <rPh sb="0" eb="3">
      <t>キニュウビ</t>
    </rPh>
    <phoneticPr fontId="5"/>
  </si>
  <si>
    <t>氏名：</t>
    <rPh sb="0" eb="2">
      <t>シメイ</t>
    </rPh>
    <phoneticPr fontId="2"/>
  </si>
  <si>
    <t>※本シートはオリジナルレイアウトの勤務表です。</t>
    <rPh sb="1" eb="2">
      <t>ホン</t>
    </rPh>
    <rPh sb="17" eb="19">
      <t>キンム</t>
    </rPh>
    <rPh sb="19" eb="20">
      <t>ヒョウ</t>
    </rPh>
    <phoneticPr fontId="2"/>
  </si>
  <si>
    <t>2</t>
    <phoneticPr fontId="2"/>
  </si>
  <si>
    <t>※本シートはオリジナルレイアウトの報告書です。</t>
    <rPh sb="1" eb="2">
      <t>ホン</t>
    </rPh>
    <rPh sb="17" eb="20">
      <t>ホウコクショ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</si>
</sst>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¥&quot;#,##0;&quot;¥&quot;\-#,##0"/>
    <numFmt numFmtId="176" formatCode="d"/>
    <numFmt numFmtId="177" formatCode="#,##0.0_);[Red]\(#,##0.0\)"/>
    <numFmt numFmtId="178" formatCode="#,##0_ "/>
    <numFmt numFmtId="179" formatCode="&quot;¥&quot;#,##0_);[Red]\(&quot;¥&quot;#,##0\)"/>
    <numFmt numFmtId="180" formatCode="&quot;往復&quot;####&quot;円&quot;"/>
  </numFmts>
  <fonts count="16">
    <font>
      <sz val="11"/>
      <color theme="1"/>
      <name val="Yu Gothic"/>
      <family val="2"/>
      <scheme val="minor"/>
    </font>
    <font>
      <sz val="11"/>
      <name val="ＭＳ Ｐゴシック"/>
      <family val="3"/>
      <charset val="128"/>
    </font>
    <font>
      <sz val="6"/>
      <name val="Yu Gothic"/>
      <family val="3"/>
      <charset val="128"/>
      <scheme val="minor"/>
    </font>
    <font>
      <sz val="6"/>
      <name val="ＭＳ Ｐゴシック"/>
      <family val="3"/>
      <charset val="128"/>
    </font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1"/>
      <color indexed="30"/>
      <name val="ＭＳ Ｐゴシック"/>
      <family val="3"/>
      <charset val="128"/>
    </font>
    <font>
      <sz val="11"/>
      <color rgb="FF000000"/>
      <name val="Yu Gothic"/>
      <family val="3"/>
      <charset val="128"/>
    </font>
    <font>
      <sz val="11"/>
      <color indexed="8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b/>
      <sz val="12"/>
      <color theme="1"/>
      <name val="メイリオ"/>
      <family val="3"/>
      <charset val="128"/>
    </font>
    <font>
      <sz val="11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z val="22"/>
      <color theme="1"/>
      <name val="メイリオ"/>
      <family val="3"/>
      <charset val="128"/>
    </font>
    <font>
      <sz val="9"/>
      <color theme="1"/>
      <name val="メイリオ"/>
      <family val="3"/>
      <charset val="128"/>
    </font>
    <font>
      <sz val="10"/>
      <color theme="1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666666"/>
      </left>
      <right/>
      <top style="thin">
        <color rgb="FF666666"/>
      </top>
      <bottom style="thin">
        <color rgb="FF666666"/>
      </bottom>
      <diagonal/>
    </border>
    <border>
      <left/>
      <right/>
      <top style="thin">
        <color rgb="FF666666"/>
      </top>
      <bottom style="thin">
        <color rgb="FF666666"/>
      </bottom>
      <diagonal/>
    </border>
    <border>
      <left/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/>
      <top style="thin">
        <color rgb="FF666666"/>
      </top>
      <bottom/>
      <diagonal/>
    </border>
    <border>
      <left/>
      <right style="thin">
        <color rgb="FF666666"/>
      </right>
      <top style="thin">
        <color rgb="FF666666"/>
      </top>
      <bottom/>
      <diagonal/>
    </border>
    <border>
      <left/>
      <right/>
      <top style="thin">
        <color rgb="FF666666"/>
      </top>
      <bottom/>
      <diagonal/>
    </border>
    <border>
      <left style="thin">
        <color rgb="FF666666"/>
      </left>
      <right/>
      <top/>
      <bottom/>
      <diagonal/>
    </border>
    <border>
      <left/>
      <right style="thin">
        <color rgb="FF666666"/>
      </right>
      <top/>
      <bottom/>
      <diagonal/>
    </border>
    <border>
      <left style="thin">
        <color rgb="FF666666"/>
      </left>
      <right/>
      <top/>
      <bottom style="thin">
        <color rgb="FF666666"/>
      </bottom>
      <diagonal/>
    </border>
    <border>
      <left/>
      <right style="thin">
        <color rgb="FF666666"/>
      </right>
      <top/>
      <bottom style="thin">
        <color rgb="FF666666"/>
      </bottom>
      <diagonal/>
    </border>
    <border>
      <left/>
      <right/>
      <top/>
      <bottom style="thin">
        <color rgb="FF666666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double">
        <color indexed="64"/>
      </bottom>
      <diagonal/>
    </border>
    <border>
      <left style="medium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</borders>
  <cellStyleXfs count="9">
    <xf numFmtId="0" fontId="0" fillId="0" borderId="0"/>
    <xf numFmtId="0" fontId="1" fillId="0" borderId="0"/>
    <xf numFmtId="38" fontId="1" fillId="0" borderId="0" applyFont="0" applyFill="0" applyBorder="0" applyAlignment="0" applyProtection="0"/>
    <xf numFmtId="0" fontId="4" fillId="0" borderId="0"/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8" fillId="0" borderId="0" applyNumberFormat="0" applyFill="0" applyBorder="0" applyProtection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99">
    <xf numFmtId="0" fontId="0" fillId="0" borderId="0" xfId="0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1" fillId="3" borderId="20" xfId="0" applyFont="1" applyFill="1" applyBorder="1"/>
    <xf numFmtId="49" fontId="11" fillId="0" borderId="20" xfId="0" applyNumberFormat="1" applyFont="1" applyBorder="1"/>
    <xf numFmtId="49" fontId="11" fillId="0" borderId="0" xfId="0" applyNumberFormat="1" applyFont="1"/>
    <xf numFmtId="49" fontId="12" fillId="0" borderId="0" xfId="0" applyNumberFormat="1" applyFont="1"/>
    <xf numFmtId="14" fontId="11" fillId="3" borderId="20" xfId="0" applyNumberFormat="1" applyFont="1" applyFill="1" applyBorder="1"/>
    <xf numFmtId="0" fontId="11" fillId="2" borderId="20" xfId="0" applyFont="1" applyFill="1" applyBorder="1"/>
    <xf numFmtId="14" fontId="11" fillId="0" borderId="20" xfId="0" applyNumberFormat="1" applyFont="1" applyBorder="1"/>
    <xf numFmtId="20" fontId="11" fillId="0" borderId="20" xfId="0" applyNumberFormat="1" applyFont="1" applyBorder="1"/>
    <xf numFmtId="0" fontId="11" fillId="0" borderId="20" xfId="0" applyFont="1" applyBorder="1"/>
    <xf numFmtId="177" fontId="11" fillId="0" borderId="20" xfId="0" applyNumberFormat="1" applyFont="1" applyBorder="1"/>
    <xf numFmtId="0" fontId="11" fillId="0" borderId="0" xfId="1" applyFont="1"/>
    <xf numFmtId="0" fontId="11" fillId="0" borderId="0" xfId="1" applyFont="1" applyAlignment="1">
      <alignment horizontal="center"/>
    </xf>
    <xf numFmtId="0" fontId="11" fillId="0" borderId="0" xfId="1" applyFont="1" applyAlignment="1">
      <alignment horizontal="left"/>
    </xf>
    <xf numFmtId="0" fontId="11" fillId="0" borderId="0" xfId="1" applyFont="1" applyAlignment="1">
      <alignment horizontal="left" vertical="center" shrinkToFit="1"/>
    </xf>
    <xf numFmtId="0" fontId="11" fillId="0" borderId="0" xfId="1" applyFont="1" applyAlignment="1">
      <alignment horizontal="center" vertical="center" shrinkToFit="1"/>
    </xf>
    <xf numFmtId="38" fontId="11" fillId="0" borderId="0" xfId="2" applyFont="1" applyFill="1"/>
    <xf numFmtId="180" fontId="11" fillId="0" borderId="0" xfId="1" applyNumberFormat="1" applyFont="1" applyAlignment="1">
      <alignment horizontal="left"/>
    </xf>
    <xf numFmtId="0" fontId="14" fillId="0" borderId="0" xfId="3" applyFont="1"/>
    <xf numFmtId="0" fontId="14" fillId="0" borderId="4" xfId="3" applyFont="1" applyBorder="1" applyAlignment="1">
      <alignment wrapText="1"/>
    </xf>
    <xf numFmtId="0" fontId="14" fillId="0" borderId="5" xfId="3" applyFont="1" applyBorder="1" applyAlignment="1">
      <alignment wrapText="1"/>
    </xf>
    <xf numFmtId="0" fontId="14" fillId="0" borderId="6" xfId="3" applyFont="1" applyBorder="1" applyAlignment="1">
      <alignment wrapText="1"/>
    </xf>
    <xf numFmtId="0" fontId="14" fillId="0" borderId="7" xfId="3" applyFont="1" applyBorder="1"/>
    <xf numFmtId="0" fontId="14" fillId="0" borderId="6" xfId="3" applyFont="1" applyBorder="1"/>
    <xf numFmtId="0" fontId="11" fillId="0" borderId="8" xfId="3" applyFont="1" applyBorder="1"/>
    <xf numFmtId="0" fontId="15" fillId="0" borderId="10" xfId="3" applyFont="1" applyBorder="1"/>
    <xf numFmtId="176" fontId="11" fillId="0" borderId="21" xfId="1" applyNumberFormat="1" applyFont="1" applyBorder="1" applyAlignment="1">
      <alignment horizontal="right" vertical="center"/>
    </xf>
    <xf numFmtId="20" fontId="11" fillId="0" borderId="21" xfId="1" applyNumberFormat="1" applyFont="1" applyBorder="1" applyAlignment="1" applyProtection="1">
      <alignment horizontal="right" vertical="center"/>
      <protection locked="0"/>
    </xf>
    <xf numFmtId="20" fontId="11" fillId="0" borderId="21" xfId="1" applyNumberFormat="1" applyFont="1" applyBorder="1" applyAlignment="1">
      <alignment horizontal="right" vertical="center"/>
    </xf>
    <xf numFmtId="177" fontId="11" fillId="0" borderId="21" xfId="1" applyNumberFormat="1" applyFont="1" applyBorder="1" applyAlignment="1">
      <alignment horizontal="right" vertical="center"/>
    </xf>
    <xf numFmtId="177" fontId="11" fillId="0" borderId="21" xfId="1" applyNumberFormat="1" applyFont="1" applyBorder="1" applyAlignment="1" applyProtection="1">
      <alignment horizontal="right" vertical="center"/>
      <protection locked="0"/>
    </xf>
    <xf numFmtId="178" fontId="11" fillId="0" borderId="21" xfId="1" applyNumberFormat="1" applyFont="1" applyBorder="1" applyAlignment="1" applyProtection="1">
      <alignment horizontal="right" vertical="center"/>
      <protection locked="0"/>
    </xf>
    <xf numFmtId="0" fontId="11" fillId="0" borderId="21" xfId="1" applyFont="1" applyBorder="1" applyAlignment="1">
      <alignment horizontal="right" vertical="center"/>
    </xf>
    <xf numFmtId="0" fontId="12" fillId="0" borderId="21" xfId="1" applyFont="1" applyBorder="1"/>
    <xf numFmtId="0" fontId="11" fillId="0" borderId="24" xfId="1" applyFont="1" applyBorder="1"/>
    <xf numFmtId="0" fontId="11" fillId="0" borderId="22" xfId="1" applyFont="1" applyBorder="1" applyAlignment="1">
      <alignment horizontal="center" vertical="center"/>
    </xf>
    <xf numFmtId="0" fontId="11" fillId="0" borderId="24" xfId="1" applyFont="1" applyBorder="1" applyAlignment="1">
      <alignment horizontal="left"/>
    </xf>
    <xf numFmtId="176" fontId="11" fillId="0" borderId="26" xfId="1" applyNumberFormat="1" applyFont="1" applyBorder="1" applyAlignment="1">
      <alignment horizontal="right" vertical="center"/>
    </xf>
    <xf numFmtId="20" fontId="11" fillId="0" borderId="26" xfId="1" applyNumberFormat="1" applyFont="1" applyBorder="1" applyAlignment="1" applyProtection="1">
      <alignment horizontal="right" vertical="center"/>
      <protection locked="0"/>
    </xf>
    <xf numFmtId="20" fontId="11" fillId="0" borderId="26" xfId="1" applyNumberFormat="1" applyFont="1" applyBorder="1" applyAlignment="1">
      <alignment horizontal="right" vertical="center"/>
    </xf>
    <xf numFmtId="177" fontId="11" fillId="0" borderId="26" xfId="1" applyNumberFormat="1" applyFont="1" applyBorder="1" applyAlignment="1">
      <alignment horizontal="right" vertical="center"/>
    </xf>
    <xf numFmtId="177" fontId="11" fillId="0" borderId="26" xfId="1" applyNumberFormat="1" applyFont="1" applyBorder="1" applyAlignment="1" applyProtection="1">
      <alignment horizontal="right" vertical="center"/>
      <protection locked="0"/>
    </xf>
    <xf numFmtId="178" fontId="11" fillId="0" borderId="26" xfId="1" applyNumberFormat="1" applyFont="1" applyBorder="1" applyAlignment="1" applyProtection="1">
      <alignment horizontal="right" vertical="center"/>
      <protection locked="0"/>
    </xf>
    <xf numFmtId="0" fontId="12" fillId="0" borderId="25" xfId="1" applyFont="1" applyBorder="1" applyAlignment="1">
      <alignment horizontal="center" vertical="center" shrinkToFit="1"/>
    </xf>
    <xf numFmtId="0" fontId="11" fillId="0" borderId="27" xfId="1" applyFont="1" applyBorder="1"/>
    <xf numFmtId="0" fontId="11" fillId="0" borderId="28" xfId="1" applyFont="1" applyBorder="1" applyAlignment="1">
      <alignment horizontal="center"/>
    </xf>
    <xf numFmtId="20" fontId="11" fillId="0" borderId="28" xfId="1" applyNumberFormat="1" applyFont="1" applyBorder="1"/>
    <xf numFmtId="0" fontId="11" fillId="0" borderId="28" xfId="1" applyFont="1" applyBorder="1" applyAlignment="1">
      <alignment horizontal="right"/>
    </xf>
    <xf numFmtId="38" fontId="11" fillId="0" borderId="28" xfId="2" applyFont="1" applyFill="1" applyBorder="1" applyAlignment="1">
      <alignment horizontal="right"/>
    </xf>
    <xf numFmtId="177" fontId="11" fillId="0" borderId="28" xfId="1" applyNumberFormat="1" applyFont="1" applyBorder="1"/>
    <xf numFmtId="5" fontId="12" fillId="0" borderId="29" xfId="1" applyNumberFormat="1" applyFont="1" applyBorder="1"/>
    <xf numFmtId="0" fontId="11" fillId="0" borderId="31" xfId="1" applyFont="1" applyBorder="1"/>
    <xf numFmtId="0" fontId="12" fillId="0" borderId="31" xfId="1" applyFont="1" applyBorder="1" applyAlignment="1">
      <alignment horizontal="right"/>
    </xf>
    <xf numFmtId="179" fontId="12" fillId="0" borderId="31" xfId="1" applyNumberFormat="1" applyFont="1" applyBorder="1"/>
    <xf numFmtId="0" fontId="10" fillId="0" borderId="31" xfId="1" applyFont="1" applyBorder="1" applyAlignment="1">
      <alignment horizontal="right"/>
    </xf>
    <xf numFmtId="179" fontId="10" fillId="0" borderId="32" xfId="1" applyNumberFormat="1" applyFont="1" applyBorder="1"/>
    <xf numFmtId="0" fontId="12" fillId="0" borderId="0" xfId="1" applyFont="1"/>
    <xf numFmtId="0" fontId="11" fillId="0" borderId="26" xfId="1" applyFont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0" fillId="0" borderId="22" xfId="1" applyFont="1" applyBorder="1" applyAlignment="1">
      <alignment horizontal="center" vertical="center"/>
    </xf>
    <xf numFmtId="0" fontId="10" fillId="0" borderId="23" xfId="1" applyFont="1" applyBorder="1" applyAlignment="1">
      <alignment horizontal="center" vertical="center"/>
    </xf>
    <xf numFmtId="55" fontId="12" fillId="4" borderId="25" xfId="1" applyNumberFormat="1" applyFont="1" applyFill="1" applyBorder="1" applyAlignment="1">
      <alignment horizontal="center" vertical="center"/>
    </xf>
    <xf numFmtId="0" fontId="12" fillId="4" borderId="25" xfId="1" applyFont="1" applyFill="1" applyBorder="1" applyAlignment="1">
      <alignment horizontal="center" vertical="center"/>
    </xf>
    <xf numFmtId="0" fontId="11" fillId="0" borderId="30" xfId="1" applyFont="1" applyBorder="1" applyAlignment="1">
      <alignment horizontal="center"/>
    </xf>
    <xf numFmtId="0" fontId="11" fillId="0" borderId="31" xfId="1" applyFont="1" applyBorder="1" applyAlignment="1">
      <alignment horizontal="center"/>
    </xf>
    <xf numFmtId="0" fontId="15" fillId="0" borderId="12" xfId="3" applyFont="1" applyBorder="1" applyAlignment="1">
      <alignment horizontal="left" vertical="top" wrapText="1"/>
    </xf>
    <xf numFmtId="0" fontId="15" fillId="0" borderId="14" xfId="3" applyFont="1" applyBorder="1"/>
    <xf numFmtId="0" fontId="15" fillId="0" borderId="13" xfId="3" applyFont="1" applyBorder="1"/>
    <xf numFmtId="0" fontId="15" fillId="0" borderId="15" xfId="3" applyFont="1" applyBorder="1"/>
    <xf numFmtId="0" fontId="15" fillId="0" borderId="0" xfId="3" applyFont="1"/>
    <xf numFmtId="0" fontId="15" fillId="0" borderId="16" xfId="3" applyFont="1" applyBorder="1"/>
    <xf numFmtId="0" fontId="15" fillId="0" borderId="17" xfId="3" applyFont="1" applyBorder="1"/>
    <xf numFmtId="0" fontId="15" fillId="0" borderId="19" xfId="3" applyFont="1" applyBorder="1"/>
    <xf numFmtId="0" fontId="15" fillId="0" borderId="18" xfId="3" applyFont="1" applyBorder="1"/>
    <xf numFmtId="0" fontId="15" fillId="0" borderId="9" xfId="3" applyFont="1" applyBorder="1" applyAlignment="1">
      <alignment horizontal="left" wrapText="1"/>
    </xf>
    <xf numFmtId="0" fontId="15" fillId="0" borderId="10" xfId="3" applyFont="1" applyBorder="1"/>
    <xf numFmtId="0" fontId="15" fillId="0" borderId="11" xfId="3" applyFont="1" applyBorder="1"/>
    <xf numFmtId="0" fontId="15" fillId="0" borderId="14" xfId="3" applyFont="1" applyBorder="1" applyAlignment="1">
      <alignment horizontal="left" vertical="top" wrapText="1"/>
    </xf>
    <xf numFmtId="0" fontId="15" fillId="0" borderId="13" xfId="3" applyFont="1" applyBorder="1" applyAlignment="1">
      <alignment horizontal="left" vertical="top" wrapText="1"/>
    </xf>
    <xf numFmtId="0" fontId="15" fillId="0" borderId="15" xfId="3" applyFont="1" applyBorder="1" applyAlignment="1">
      <alignment horizontal="left" vertical="top" wrapText="1"/>
    </xf>
    <xf numFmtId="0" fontId="15" fillId="0" borderId="0" xfId="3" applyFont="1" applyAlignment="1">
      <alignment horizontal="left" vertical="top" wrapText="1"/>
    </xf>
    <xf numFmtId="0" fontId="15" fillId="0" borderId="16" xfId="3" applyFont="1" applyBorder="1" applyAlignment="1">
      <alignment horizontal="left" vertical="top" wrapText="1"/>
    </xf>
    <xf numFmtId="0" fontId="15" fillId="0" borderId="15" xfId="3" applyFont="1" applyBorder="1" applyAlignment="1">
      <alignment horizontal="left" vertical="top"/>
    </xf>
    <xf numFmtId="0" fontId="15" fillId="0" borderId="0" xfId="3" applyFont="1" applyAlignment="1">
      <alignment horizontal="left" vertical="top"/>
    </xf>
    <xf numFmtId="0" fontId="15" fillId="0" borderId="16" xfId="3" applyFont="1" applyBorder="1" applyAlignment="1">
      <alignment horizontal="left" vertical="top"/>
    </xf>
    <xf numFmtId="0" fontId="15" fillId="0" borderId="17" xfId="3" applyFont="1" applyBorder="1" applyAlignment="1">
      <alignment horizontal="left" vertical="top"/>
    </xf>
    <xf numFmtId="0" fontId="15" fillId="0" borderId="19" xfId="3" applyFont="1" applyBorder="1" applyAlignment="1">
      <alignment horizontal="left" vertical="top"/>
    </xf>
    <xf numFmtId="0" fontId="15" fillId="0" borderId="18" xfId="3" applyFont="1" applyBorder="1" applyAlignment="1">
      <alignment horizontal="left" vertical="top"/>
    </xf>
    <xf numFmtId="0" fontId="13" fillId="0" borderId="0" xfId="3" applyFont="1" applyAlignment="1">
      <alignment horizontal="center"/>
    </xf>
    <xf numFmtId="0" fontId="15" fillId="0" borderId="1" xfId="3" applyFont="1" applyBorder="1" applyAlignment="1">
      <alignment horizontal="left" wrapText="1"/>
    </xf>
    <xf numFmtId="0" fontId="15" fillId="0" borderId="2" xfId="3" applyFont="1" applyBorder="1"/>
    <xf numFmtId="14" fontId="14" fillId="0" borderId="3" xfId="3" applyNumberFormat="1" applyFont="1" applyBorder="1" applyAlignment="1">
      <alignment wrapText="1"/>
    </xf>
    <xf numFmtId="0" fontId="14" fillId="0" borderId="3" xfId="3" applyFont="1" applyBorder="1"/>
    <xf numFmtId="0" fontId="15" fillId="0" borderId="3" xfId="3" applyFont="1" applyBorder="1" applyAlignment="1">
      <alignment horizontal="left" wrapText="1"/>
    </xf>
    <xf numFmtId="0" fontId="15" fillId="0" borderId="3" xfId="3" applyFont="1" applyBorder="1"/>
    <xf numFmtId="0" fontId="14" fillId="0" borderId="3" xfId="3" applyFont="1" applyBorder="1" applyAlignment="1">
      <alignment wrapText="1"/>
    </xf>
  </cellXfs>
  <cellStyles count="9">
    <cellStyle name="ハイパーリンク 2" xfId="6" xr:uid="{86E38C3B-A30C-441A-829C-B52476F25FBF}"/>
    <cellStyle name="ハイパーリンク 3" xfId="8" xr:uid="{B9C2CAFB-4FBC-4359-A920-AD76F88D3117}"/>
    <cellStyle name="桁区切り 2" xfId="2" xr:uid="{212BF012-AC4A-48A8-9317-59E7261707F2}"/>
    <cellStyle name="桁区切り 3" xfId="5" xr:uid="{AB984BD2-B4FA-4620-A490-C3661445378C}"/>
    <cellStyle name="標準" xfId="0" builtinId="0"/>
    <cellStyle name="標準 2" xfId="1" xr:uid="{1A889F62-28F1-4652-A926-D45A8704304E}"/>
    <cellStyle name="標準 3" xfId="3" xr:uid="{6B05A5EB-12D2-44CC-AA5E-D8839F85C6D8}"/>
    <cellStyle name="標準 4" xfId="4" xr:uid="{D544A6B9-F7A3-4580-AD3D-C970653A0EDF}"/>
    <cellStyle name="標準 5" xfId="7" xr:uid="{623F18FC-10DA-4F40-B507-7BB094C7FF28}"/>
  </cellStyles>
  <dxfs count="3"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38100</xdr:rowOff>
        </xdr:from>
        <xdr:to>
          <xdr:col>1</xdr:col>
          <xdr:colOff>866775</xdr:colOff>
          <xdr:row>20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勤怠初期化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D19"/>
  <sheetViews>
    <sheetView showGridLines="0" tabSelected="1" zoomScale="130" zoomScaleNormal="130" workbookViewId="0"/>
  </sheetViews>
  <sheetFormatPr defaultRowHeight="18.75"/>
  <cols>
    <col min="1" max="1" width="9" style="2"/>
    <col min="2" max="2" width="14.75" style="2" bestFit="1" customWidth="1"/>
    <col min="3" max="3" width="19.25" style="2" bestFit="1" customWidth="1"/>
    <col min="4" max="4" width="18.125" style="2" bestFit="1" customWidth="1"/>
    <col min="5" max="5" width="3.75" style="2" customWidth="1"/>
    <col min="6" max="16384" width="9" style="2"/>
  </cols>
  <sheetData>
    <row r="2" spans="2:4" ht="19.5">
      <c r="B2" s="1" t="s">
        <v>30</v>
      </c>
    </row>
    <row r="4" spans="2:4">
      <c r="B4" s="3" t="s">
        <v>27</v>
      </c>
    </row>
    <row r="5" spans="2:4">
      <c r="B5" s="4" t="s">
        <v>25</v>
      </c>
      <c r="C5" s="5" t="s">
        <v>34</v>
      </c>
    </row>
    <row r="6" spans="2:4">
      <c r="C6" s="6"/>
    </row>
    <row r="7" spans="2:4">
      <c r="B7" s="7" t="s">
        <v>28</v>
      </c>
    </row>
    <row r="8" spans="2:4">
      <c r="B8" s="4" t="s">
        <v>8</v>
      </c>
      <c r="C8" s="8" t="s">
        <v>7</v>
      </c>
      <c r="D8" s="8" t="s">
        <v>9</v>
      </c>
    </row>
    <row r="9" spans="2:4">
      <c r="B9" s="9" t="s">
        <v>3</v>
      </c>
      <c r="C9" s="9" t="s">
        <v>10</v>
      </c>
      <c r="D9" s="10" t="str">
        <f ca="1">_xlfn.CONCAT(YEAR(TODAY()),"/",C5,"/1")</f>
        <v>2026/2/1</v>
      </c>
    </row>
    <row r="10" spans="2:4">
      <c r="B10" s="9" t="s">
        <v>11</v>
      </c>
      <c r="C10" s="9" t="s">
        <v>14</v>
      </c>
      <c r="D10" s="11">
        <v>0.375</v>
      </c>
    </row>
    <row r="11" spans="2:4">
      <c r="B11" s="9" t="s">
        <v>12</v>
      </c>
      <c r="C11" s="9" t="s">
        <v>15</v>
      </c>
      <c r="D11" s="11">
        <v>0.75</v>
      </c>
    </row>
    <row r="12" spans="2:4">
      <c r="B12" s="9" t="s">
        <v>4</v>
      </c>
      <c r="C12" s="9" t="s">
        <v>13</v>
      </c>
      <c r="D12" s="12" t="str">
        <f ca="1">_xlfn.CONCAT("勤務表(",_xlfn.CONCAT(YEAR(D9),"年",MONTH(D9),"月"),")")</f>
        <v>勤務表(2026年2月)</v>
      </c>
    </row>
    <row r="13" spans="2:4">
      <c r="B13" s="9" t="s">
        <v>6</v>
      </c>
      <c r="C13" s="9" t="s">
        <v>16</v>
      </c>
      <c r="D13" s="13">
        <v>1</v>
      </c>
    </row>
    <row r="14" spans="2:4">
      <c r="B14" s="9" t="s">
        <v>5</v>
      </c>
      <c r="C14" s="9" t="s">
        <v>17</v>
      </c>
      <c r="D14" s="10">
        <f ca="1">EOMONTH(D9,0)</f>
        <v>46081</v>
      </c>
    </row>
    <row r="15" spans="2:4">
      <c r="B15" s="9" t="s">
        <v>18</v>
      </c>
      <c r="C15" s="9" t="s">
        <v>19</v>
      </c>
      <c r="D15" s="12" t="b">
        <v>0</v>
      </c>
    </row>
    <row r="16" spans="2:4">
      <c r="B16" s="9" t="s">
        <v>20</v>
      </c>
      <c r="C16" s="9" t="s">
        <v>21</v>
      </c>
      <c r="D16" s="12" t="b">
        <v>0</v>
      </c>
    </row>
    <row r="17" spans="2:4">
      <c r="B17" s="9" t="s">
        <v>22</v>
      </c>
      <c r="C17" s="9" t="s">
        <v>23</v>
      </c>
      <c r="D17" s="12" t="str">
        <f ca="1">_xlfn.CONCAT(YEAR(D14),TEXT(MONTH(D14),"00"))</f>
        <v>202602</v>
      </c>
    </row>
    <row r="19" spans="2:4">
      <c r="B19" s="3" t="s">
        <v>29</v>
      </c>
    </row>
  </sheetData>
  <phoneticPr fontId="2"/>
  <dataValidations count="1">
    <dataValidation type="list" allowBlank="1" showInputMessage="1" showErrorMessage="1" sqref="D15:D16" xr:uid="{10F45C17-E20E-44C7-8B90-0648BE3A8056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勤怠リセット">
                <anchor moveWithCells="1" sizeWithCells="1">
                  <from>
                    <xdr:col>1</xdr:col>
                    <xdr:colOff>9525</xdr:colOff>
                    <xdr:row>19</xdr:row>
                    <xdr:rowOff>38100</xdr:rowOff>
                  </from>
                  <to>
                    <xdr:col>1</xdr:col>
                    <xdr:colOff>866775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71007-F62F-489F-8FE1-4A4402C1FDF6}">
  <sheetPr codeName="Sheet2">
    <tabColor indexed="46"/>
  </sheetPr>
  <dimension ref="A1:J41"/>
  <sheetViews>
    <sheetView showGridLines="0" view="pageBreakPreview" zoomScale="85" zoomScaleNormal="85" zoomScaleSheetLayoutView="100" workbookViewId="0">
      <pane ySplit="4" topLeftCell="A5" activePane="bottomLeft" state="frozen"/>
      <selection pane="bottomLeft" activeCell="B5" sqref="B5:B32 I36 H37 C38"/>
    </sheetView>
  </sheetViews>
  <sheetFormatPr defaultColWidth="7.5" defaultRowHeight="18.75"/>
  <cols>
    <col min="1" max="1" width="6.375" style="14" customWidth="1"/>
    <col min="2" max="2" width="6.375" style="15" customWidth="1"/>
    <col min="3" max="3" width="9" style="14" customWidth="1"/>
    <col min="4" max="4" width="9" style="14" bestFit="1" customWidth="1"/>
    <col min="5" max="5" width="14.875" style="14" bestFit="1" customWidth="1"/>
    <col min="6" max="7" width="9" style="14" bestFit="1" customWidth="1"/>
    <col min="8" max="8" width="21.875" style="14" customWidth="1"/>
    <col min="9" max="9" width="9" style="14" bestFit="1" customWidth="1"/>
    <col min="10" max="10" width="7.5" style="16"/>
    <col min="11" max="16384" width="7.5" style="14"/>
  </cols>
  <sheetData>
    <row r="1" spans="1:10" ht="6" customHeight="1" thickBot="1"/>
    <row r="2" spans="1:10" ht="17.100000000000001" customHeight="1" thickBot="1">
      <c r="A2" s="61"/>
      <c r="B2" s="61"/>
      <c r="C2" s="61"/>
      <c r="D2" s="37"/>
      <c r="E2" s="39"/>
      <c r="F2" s="38" t="s">
        <v>32</v>
      </c>
      <c r="G2" s="62"/>
      <c r="H2" s="63"/>
      <c r="I2" s="16"/>
      <c r="J2" s="14"/>
    </row>
    <row r="3" spans="1:10" ht="20.25" customHeight="1" thickBot="1">
      <c r="A3" s="59" t="s">
        <v>33</v>
      </c>
    </row>
    <row r="4" spans="1:10" s="18" customFormat="1" ht="17.100000000000001" customHeight="1" thickBot="1">
      <c r="A4" s="64">
        <v>46054</v>
      </c>
      <c r="B4" s="65"/>
      <c r="C4" s="46" t="s">
        <v>24</v>
      </c>
      <c r="D4" s="46" t="s">
        <v>24</v>
      </c>
      <c r="E4" s="46" t="s">
        <v>24</v>
      </c>
      <c r="F4" s="46" t="s">
        <v>24</v>
      </c>
      <c r="G4" s="46" t="s">
        <v>24</v>
      </c>
      <c r="H4" s="46" t="s">
        <v>24</v>
      </c>
      <c r="I4" s="46" t="s">
        <v>24</v>
      </c>
      <c r="J4" s="17"/>
    </row>
    <row r="5" spans="1:10" ht="22.5" customHeight="1" thickTop="1" thickBot="1">
      <c r="A5" s="40">
        <v>46054</v>
      </c>
      <c r="B5" s="60" t="str">
        <f>TEXT(A5,"aaa")</f>
        <v>日</v>
      </c>
      <c r="C5" s="41"/>
      <c r="D5" s="41"/>
      <c r="E5" s="42"/>
      <c r="F5" s="43"/>
      <c r="G5" s="44"/>
      <c r="H5" s="43"/>
      <c r="I5" s="45"/>
    </row>
    <row r="6" spans="1:10" ht="22.5" customHeight="1" thickBot="1">
      <c r="A6" s="29">
        <v>46055</v>
      </c>
      <c r="B6" s="60" t="str">
        <f t="shared" ref="B6:B32" si="0">TEXT(A6,"aaa")</f>
        <v>月</v>
      </c>
      <c r="C6" s="30">
        <v>0.375</v>
      </c>
      <c r="D6" s="30">
        <v>0.75</v>
      </c>
      <c r="E6" s="31"/>
      <c r="F6" s="32"/>
      <c r="G6" s="33">
        <v>1</v>
      </c>
      <c r="H6" s="32"/>
      <c r="I6" s="34"/>
    </row>
    <row r="7" spans="1:10" ht="22.5" customHeight="1" thickBot="1">
      <c r="A7" s="29">
        <v>46056</v>
      </c>
      <c r="B7" s="60" t="str">
        <f t="shared" si="0"/>
        <v>火</v>
      </c>
      <c r="C7" s="30">
        <v>0.375</v>
      </c>
      <c r="D7" s="30">
        <v>0.75</v>
      </c>
      <c r="E7" s="31"/>
      <c r="F7" s="32"/>
      <c r="G7" s="33">
        <v>1</v>
      </c>
      <c r="H7" s="32"/>
      <c r="I7" s="34"/>
    </row>
    <row r="8" spans="1:10" ht="22.5" customHeight="1" thickBot="1">
      <c r="A8" s="29">
        <v>46057</v>
      </c>
      <c r="B8" s="60" t="str">
        <f t="shared" si="0"/>
        <v>水</v>
      </c>
      <c r="C8" s="30">
        <v>0.375</v>
      </c>
      <c r="D8" s="30">
        <v>0.75</v>
      </c>
      <c r="E8" s="31"/>
      <c r="F8" s="32"/>
      <c r="G8" s="33">
        <v>1</v>
      </c>
      <c r="H8" s="32"/>
      <c r="I8" s="34"/>
    </row>
    <row r="9" spans="1:10" ht="22.5" customHeight="1" thickBot="1">
      <c r="A9" s="29">
        <v>46058</v>
      </c>
      <c r="B9" s="60" t="str">
        <f t="shared" si="0"/>
        <v>木</v>
      </c>
      <c r="C9" s="30">
        <v>0.375</v>
      </c>
      <c r="D9" s="30">
        <v>0.75</v>
      </c>
      <c r="E9" s="31"/>
      <c r="F9" s="32"/>
      <c r="G9" s="33">
        <v>1</v>
      </c>
      <c r="H9" s="32"/>
      <c r="I9" s="34"/>
    </row>
    <row r="10" spans="1:10" ht="22.5" customHeight="1" thickBot="1">
      <c r="A10" s="29">
        <v>46059</v>
      </c>
      <c r="B10" s="60" t="str">
        <f t="shared" si="0"/>
        <v>金</v>
      </c>
      <c r="C10" s="30">
        <v>0.375</v>
      </c>
      <c r="D10" s="30">
        <v>0.75</v>
      </c>
      <c r="E10" s="31"/>
      <c r="F10" s="32"/>
      <c r="G10" s="33">
        <v>1</v>
      </c>
      <c r="H10" s="32"/>
      <c r="I10" s="34"/>
    </row>
    <row r="11" spans="1:10" ht="22.5" customHeight="1" thickBot="1">
      <c r="A11" s="29">
        <v>46060</v>
      </c>
      <c r="B11" s="60" t="str">
        <f t="shared" si="0"/>
        <v>土</v>
      </c>
      <c r="C11" s="30"/>
      <c r="D11" s="30"/>
      <c r="E11" s="31"/>
      <c r="F11" s="32"/>
      <c r="G11" s="33"/>
      <c r="H11" s="32"/>
      <c r="I11" s="34"/>
    </row>
    <row r="12" spans="1:10" ht="22.5" customHeight="1" thickBot="1">
      <c r="A12" s="29">
        <v>46061</v>
      </c>
      <c r="B12" s="60" t="str">
        <f t="shared" si="0"/>
        <v>日</v>
      </c>
      <c r="C12" s="30"/>
      <c r="D12" s="30"/>
      <c r="E12" s="31"/>
      <c r="F12" s="32"/>
      <c r="G12" s="33"/>
      <c r="H12" s="32"/>
      <c r="I12" s="34"/>
    </row>
    <row r="13" spans="1:10" ht="22.5" customHeight="1" thickBot="1">
      <c r="A13" s="29">
        <v>46062</v>
      </c>
      <c r="B13" s="60" t="str">
        <f t="shared" si="0"/>
        <v>月</v>
      </c>
      <c r="C13" s="30">
        <v>0.375</v>
      </c>
      <c r="D13" s="30">
        <v>0.75</v>
      </c>
      <c r="E13" s="31"/>
      <c r="F13" s="32"/>
      <c r="G13" s="33">
        <v>1</v>
      </c>
      <c r="H13" s="32"/>
      <c r="I13" s="34"/>
    </row>
    <row r="14" spans="1:10" ht="22.5" customHeight="1" thickBot="1">
      <c r="A14" s="29">
        <v>46063</v>
      </c>
      <c r="B14" s="60" t="str">
        <f t="shared" si="0"/>
        <v>火</v>
      </c>
      <c r="C14" s="30">
        <v>0.375</v>
      </c>
      <c r="D14" s="30">
        <v>0.75</v>
      </c>
      <c r="E14" s="31"/>
      <c r="F14" s="32"/>
      <c r="G14" s="33">
        <v>1</v>
      </c>
      <c r="H14" s="32"/>
      <c r="I14" s="34"/>
    </row>
    <row r="15" spans="1:10" ht="22.5" customHeight="1" thickBot="1">
      <c r="A15" s="29">
        <v>46064</v>
      </c>
      <c r="B15" s="60" t="str">
        <f t="shared" si="0"/>
        <v>水</v>
      </c>
      <c r="C15" s="30">
        <v>0.375</v>
      </c>
      <c r="D15" s="30">
        <v>0.75</v>
      </c>
      <c r="E15" s="31"/>
      <c r="F15" s="32"/>
      <c r="G15" s="33">
        <v>1</v>
      </c>
      <c r="H15" s="32"/>
      <c r="I15" s="34"/>
    </row>
    <row r="16" spans="1:10" ht="22.5" customHeight="1" thickBot="1">
      <c r="A16" s="29">
        <v>46065</v>
      </c>
      <c r="B16" s="60" t="str">
        <f t="shared" si="0"/>
        <v>木</v>
      </c>
      <c r="C16" s="30">
        <v>0.375</v>
      </c>
      <c r="D16" s="30">
        <v>0.75</v>
      </c>
      <c r="E16" s="31"/>
      <c r="F16" s="32"/>
      <c r="G16" s="33">
        <v>1</v>
      </c>
      <c r="H16" s="32"/>
      <c r="I16" s="34"/>
    </row>
    <row r="17" spans="1:9" ht="22.5" customHeight="1" thickBot="1">
      <c r="A17" s="29">
        <v>46066</v>
      </c>
      <c r="B17" s="60" t="str">
        <f t="shared" si="0"/>
        <v>金</v>
      </c>
      <c r="C17" s="30">
        <v>0.375</v>
      </c>
      <c r="D17" s="30">
        <v>0.75</v>
      </c>
      <c r="E17" s="31"/>
      <c r="F17" s="32"/>
      <c r="G17" s="33">
        <v>1</v>
      </c>
      <c r="H17" s="32"/>
      <c r="I17" s="34"/>
    </row>
    <row r="18" spans="1:9" ht="22.5" customHeight="1" thickBot="1">
      <c r="A18" s="29">
        <v>46067</v>
      </c>
      <c r="B18" s="60" t="str">
        <f t="shared" si="0"/>
        <v>土</v>
      </c>
      <c r="C18" s="30"/>
      <c r="D18" s="30"/>
      <c r="E18" s="31"/>
      <c r="F18" s="32"/>
      <c r="G18" s="33"/>
      <c r="H18" s="32"/>
      <c r="I18" s="34"/>
    </row>
    <row r="19" spans="1:9" ht="22.5" customHeight="1" thickBot="1">
      <c r="A19" s="29">
        <v>46068</v>
      </c>
      <c r="B19" s="60" t="str">
        <f t="shared" si="0"/>
        <v>日</v>
      </c>
      <c r="C19" s="30"/>
      <c r="D19" s="30"/>
      <c r="E19" s="31"/>
      <c r="F19" s="32"/>
      <c r="G19" s="33"/>
      <c r="H19" s="32"/>
      <c r="I19" s="34"/>
    </row>
    <row r="20" spans="1:9" ht="22.5" customHeight="1" thickBot="1">
      <c r="A20" s="29">
        <v>46069</v>
      </c>
      <c r="B20" s="60" t="str">
        <f t="shared" si="0"/>
        <v>月</v>
      </c>
      <c r="C20" s="30">
        <v>0.375</v>
      </c>
      <c r="D20" s="30">
        <v>0.75</v>
      </c>
      <c r="E20" s="31"/>
      <c r="F20" s="32"/>
      <c r="G20" s="33">
        <v>1</v>
      </c>
      <c r="H20" s="32"/>
      <c r="I20" s="34"/>
    </row>
    <row r="21" spans="1:9" ht="22.5" customHeight="1" thickBot="1">
      <c r="A21" s="29">
        <v>46070</v>
      </c>
      <c r="B21" s="60" t="str">
        <f t="shared" si="0"/>
        <v>火</v>
      </c>
      <c r="C21" s="30">
        <v>0.375</v>
      </c>
      <c r="D21" s="30">
        <v>0.75</v>
      </c>
      <c r="E21" s="31"/>
      <c r="F21" s="32"/>
      <c r="G21" s="33">
        <v>1</v>
      </c>
      <c r="H21" s="32"/>
      <c r="I21" s="34"/>
    </row>
    <row r="22" spans="1:9" ht="22.5" customHeight="1" thickBot="1">
      <c r="A22" s="29">
        <v>46071</v>
      </c>
      <c r="B22" s="60" t="str">
        <f t="shared" si="0"/>
        <v>水</v>
      </c>
      <c r="C22" s="30">
        <v>0.375</v>
      </c>
      <c r="D22" s="30">
        <v>0.75</v>
      </c>
      <c r="E22" s="31"/>
      <c r="F22" s="32"/>
      <c r="G22" s="33">
        <v>1</v>
      </c>
      <c r="H22" s="32"/>
      <c r="I22" s="34"/>
    </row>
    <row r="23" spans="1:9" ht="22.5" customHeight="1" thickBot="1">
      <c r="A23" s="29">
        <v>46072</v>
      </c>
      <c r="B23" s="60" t="str">
        <f t="shared" si="0"/>
        <v>木</v>
      </c>
      <c r="C23" s="30">
        <v>0.375</v>
      </c>
      <c r="D23" s="30">
        <v>0.75</v>
      </c>
      <c r="E23" s="31"/>
      <c r="F23" s="32"/>
      <c r="G23" s="33">
        <v>1</v>
      </c>
      <c r="H23" s="32"/>
      <c r="I23" s="34"/>
    </row>
    <row r="24" spans="1:9" ht="22.5" customHeight="1" thickBot="1">
      <c r="A24" s="29">
        <v>46073</v>
      </c>
      <c r="B24" s="60" t="str">
        <f t="shared" si="0"/>
        <v>金</v>
      </c>
      <c r="C24" s="30">
        <v>0.375</v>
      </c>
      <c r="D24" s="30">
        <v>0.75</v>
      </c>
      <c r="E24" s="31"/>
      <c r="F24" s="32"/>
      <c r="G24" s="33">
        <v>1</v>
      </c>
      <c r="H24" s="32"/>
      <c r="I24" s="34"/>
    </row>
    <row r="25" spans="1:9" ht="22.5" customHeight="1" thickBot="1">
      <c r="A25" s="29">
        <v>46074</v>
      </c>
      <c r="B25" s="60" t="str">
        <f t="shared" si="0"/>
        <v>土</v>
      </c>
      <c r="C25" s="30"/>
      <c r="D25" s="30"/>
      <c r="E25" s="31"/>
      <c r="F25" s="32"/>
      <c r="G25" s="33"/>
      <c r="H25" s="32"/>
      <c r="I25" s="34"/>
    </row>
    <row r="26" spans="1:9" ht="22.5" customHeight="1" thickBot="1">
      <c r="A26" s="29">
        <v>46075</v>
      </c>
      <c r="B26" s="60" t="str">
        <f t="shared" si="0"/>
        <v>日</v>
      </c>
      <c r="C26" s="30"/>
      <c r="D26" s="30"/>
      <c r="E26" s="31"/>
      <c r="F26" s="32"/>
      <c r="G26" s="33"/>
      <c r="H26" s="32"/>
      <c r="I26" s="34"/>
    </row>
    <row r="27" spans="1:9" ht="22.5" customHeight="1" thickBot="1">
      <c r="A27" s="29">
        <v>46076</v>
      </c>
      <c r="B27" s="60" t="str">
        <f t="shared" si="0"/>
        <v>月</v>
      </c>
      <c r="C27" s="30">
        <v>0.375</v>
      </c>
      <c r="D27" s="30">
        <v>0.75</v>
      </c>
      <c r="E27" s="31"/>
      <c r="F27" s="32"/>
      <c r="G27" s="33">
        <v>1</v>
      </c>
      <c r="H27" s="32"/>
      <c r="I27" s="34"/>
    </row>
    <row r="28" spans="1:9" ht="22.5" customHeight="1" thickBot="1">
      <c r="A28" s="29">
        <v>46077</v>
      </c>
      <c r="B28" s="60" t="str">
        <f t="shared" si="0"/>
        <v>火</v>
      </c>
      <c r="C28" s="30">
        <v>0.375</v>
      </c>
      <c r="D28" s="30">
        <v>0.75</v>
      </c>
      <c r="E28" s="31"/>
      <c r="F28" s="32"/>
      <c r="G28" s="33">
        <v>1</v>
      </c>
      <c r="H28" s="32"/>
      <c r="I28" s="34"/>
    </row>
    <row r="29" spans="1:9" ht="22.5" customHeight="1" thickBot="1">
      <c r="A29" s="29">
        <v>46078</v>
      </c>
      <c r="B29" s="60" t="str">
        <f t="shared" si="0"/>
        <v>水</v>
      </c>
      <c r="C29" s="30">
        <v>0.375</v>
      </c>
      <c r="D29" s="30">
        <v>0.75</v>
      </c>
      <c r="E29" s="31"/>
      <c r="F29" s="32"/>
      <c r="G29" s="33">
        <v>1</v>
      </c>
      <c r="H29" s="32"/>
      <c r="I29" s="34"/>
    </row>
    <row r="30" spans="1:9" ht="22.5" customHeight="1" thickBot="1">
      <c r="A30" s="29">
        <v>46079</v>
      </c>
      <c r="B30" s="60" t="str">
        <f t="shared" si="0"/>
        <v>木</v>
      </c>
      <c r="C30" s="30">
        <v>0.375</v>
      </c>
      <c r="D30" s="30">
        <v>0.75</v>
      </c>
      <c r="E30" s="31"/>
      <c r="F30" s="32"/>
      <c r="G30" s="33">
        <v>1</v>
      </c>
      <c r="H30" s="32"/>
      <c r="I30" s="34"/>
    </row>
    <row r="31" spans="1:9" ht="22.5" customHeight="1" thickBot="1">
      <c r="A31" s="29">
        <v>46080</v>
      </c>
      <c r="B31" s="60" t="str">
        <f t="shared" si="0"/>
        <v>金</v>
      </c>
      <c r="C31" s="30">
        <v>0.375</v>
      </c>
      <c r="D31" s="30">
        <v>0.75</v>
      </c>
      <c r="E31" s="31"/>
      <c r="F31" s="32"/>
      <c r="G31" s="33">
        <v>1</v>
      </c>
      <c r="H31" s="32"/>
      <c r="I31" s="34"/>
    </row>
    <row r="32" spans="1:9" ht="22.5" customHeight="1" thickBot="1">
      <c r="A32" s="29">
        <v>46081</v>
      </c>
      <c r="B32" s="60" t="str">
        <f t="shared" si="0"/>
        <v>土</v>
      </c>
      <c r="C32" s="30"/>
      <c r="D32" s="30"/>
      <c r="E32" s="31"/>
      <c r="F32" s="32"/>
      <c r="G32" s="33"/>
      <c r="H32" s="32"/>
      <c r="I32" s="34"/>
    </row>
    <row r="33" spans="1:10" ht="22.5" customHeight="1" thickBot="1">
      <c r="A33" s="29"/>
      <c r="B33" s="60"/>
      <c r="C33" s="30"/>
      <c r="D33" s="30"/>
      <c r="E33" s="31"/>
      <c r="F33" s="32"/>
      <c r="G33" s="33"/>
      <c r="H33" s="32"/>
      <c r="I33" s="34"/>
    </row>
    <row r="34" spans="1:10" ht="22.5" customHeight="1" thickBot="1">
      <c r="A34" s="29"/>
      <c r="B34" s="60"/>
      <c r="C34" s="30"/>
      <c r="D34" s="30"/>
      <c r="E34" s="31"/>
      <c r="F34" s="32"/>
      <c r="G34" s="33"/>
      <c r="H34" s="32"/>
      <c r="I34" s="34"/>
    </row>
    <row r="35" spans="1:10" ht="22.5" customHeight="1" thickBot="1">
      <c r="A35" s="29"/>
      <c r="B35" s="60"/>
      <c r="C35" s="30"/>
      <c r="D35" s="30"/>
      <c r="E35" s="31"/>
      <c r="F35" s="32"/>
      <c r="G35" s="33"/>
      <c r="H35" s="32"/>
      <c r="I35" s="34"/>
    </row>
    <row r="36" spans="1:10" ht="22.5" customHeight="1" thickBot="1">
      <c r="A36" s="35"/>
      <c r="B36" s="35"/>
      <c r="C36" s="35"/>
      <c r="D36" s="35"/>
      <c r="E36" s="35"/>
      <c r="F36" s="35"/>
      <c r="G36" s="35"/>
      <c r="H36" s="35" t="s">
        <v>0</v>
      </c>
      <c r="I36" s="36">
        <f>SUM(I5:I35)</f>
        <v>0</v>
      </c>
    </row>
    <row r="37" spans="1:10" ht="17.100000000000001" customHeight="1">
      <c r="A37" s="47"/>
      <c r="B37" s="48"/>
      <c r="C37" s="49"/>
      <c r="D37" s="49"/>
      <c r="E37" s="49"/>
      <c r="F37" s="50"/>
      <c r="G37" s="51"/>
      <c r="H37" s="52" t="str">
        <f>_xlfn.CONCAT("合計勤務時間：",SUM(H5:H35),"h")</f>
        <v>合計勤務時間：0h</v>
      </c>
      <c r="I37" s="53"/>
    </row>
    <row r="38" spans="1:10" ht="17.100000000000001" customHeight="1" thickBot="1">
      <c r="A38" s="66" t="s">
        <v>1</v>
      </c>
      <c r="B38" s="67"/>
      <c r="C38" s="54">
        <f>COUNTA(C5:C35)</f>
        <v>20</v>
      </c>
      <c r="D38" s="54"/>
      <c r="E38" s="54"/>
      <c r="F38" s="55"/>
      <c r="G38" s="56"/>
      <c r="H38" s="57"/>
      <c r="I38" s="58"/>
    </row>
    <row r="41" spans="1:10">
      <c r="I41" s="19"/>
      <c r="J41" s="20"/>
    </row>
  </sheetData>
  <mergeCells count="4">
    <mergeCell ref="A2:C2"/>
    <mergeCell ref="G2:H2"/>
    <mergeCell ref="A4:B4"/>
    <mergeCell ref="A38:B38"/>
  </mergeCells>
  <phoneticPr fontId="2"/>
  <conditionalFormatting sqref="A5:B35">
    <cfRule type="expression" dxfId="2" priority="1" stopIfTrue="1">
      <formula>$B5="日"</formula>
    </cfRule>
    <cfRule type="expression" dxfId="1" priority="2" stopIfTrue="1">
      <formula>$B5="土"</formula>
    </cfRule>
    <cfRule type="expression" dxfId="0" priority="3" stopIfTrue="1">
      <formula>$B5="祝"</formula>
    </cfRule>
  </conditionalFormatting>
  <pageMargins left="0.98425196850393704" right="0.39370078740157483" top="0.39370078740157483" bottom="0.39370078740157483" header="0.51181102362204722" footer="0.51181102362204722"/>
  <pageSetup paperSize="9" scale="85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2EC1-D9AE-44D9-9841-D7912A99BC5D}">
  <sheetPr codeName="Sheet3">
    <pageSetUpPr fitToPage="1"/>
  </sheetPr>
  <dimension ref="A2:K48"/>
  <sheetViews>
    <sheetView view="pageBreakPreview" zoomScaleNormal="80" zoomScaleSheetLayoutView="100" workbookViewId="0"/>
  </sheetViews>
  <sheetFormatPr defaultColWidth="9.25" defaultRowHeight="15.75" customHeight="1"/>
  <cols>
    <col min="1" max="1" width="9.25" style="21" customWidth="1"/>
    <col min="2" max="16384" width="9.25" style="21"/>
  </cols>
  <sheetData>
    <row r="2" spans="1:11" ht="35.25">
      <c r="A2" s="91" t="s">
        <v>26</v>
      </c>
      <c r="B2" s="91"/>
      <c r="C2" s="91"/>
      <c r="D2" s="91"/>
      <c r="E2" s="91"/>
      <c r="F2" s="91"/>
      <c r="G2" s="91"/>
      <c r="H2" s="91"/>
      <c r="I2" s="91"/>
      <c r="J2" s="91"/>
      <c r="K2" s="91"/>
    </row>
    <row r="3" spans="1:11" ht="24" customHeight="1">
      <c r="A3" s="59" t="s">
        <v>35</v>
      </c>
    </row>
    <row r="4" spans="1:11" ht="15.75" customHeight="1">
      <c r="A4" s="92" t="s">
        <v>31</v>
      </c>
      <c r="B4" s="93"/>
      <c r="C4" s="94">
        <v>46081</v>
      </c>
      <c r="D4" s="95"/>
      <c r="E4" s="96" t="s">
        <v>2</v>
      </c>
      <c r="F4" s="97"/>
      <c r="G4" s="98"/>
      <c r="H4" s="95"/>
      <c r="I4" s="22"/>
      <c r="J4" s="23"/>
      <c r="K4" s="24"/>
    </row>
    <row r="5" spans="1:11" ht="13.5" customHeight="1">
      <c r="A5" s="25"/>
      <c r="B5" s="25"/>
      <c r="C5" s="25"/>
      <c r="D5" s="25"/>
      <c r="E5" s="25"/>
      <c r="F5" s="25"/>
      <c r="G5" s="25"/>
      <c r="H5" s="25"/>
      <c r="I5" s="26"/>
      <c r="J5" s="26"/>
      <c r="K5" s="26"/>
    </row>
    <row r="6" spans="1:11" ht="13.5" customHeight="1">
      <c r="A6" s="27"/>
    </row>
    <row r="7" spans="1:11" ht="13.5" customHeight="1">
      <c r="A7" s="77"/>
      <c r="B7" s="78"/>
      <c r="C7" s="78"/>
      <c r="D7" s="78"/>
      <c r="E7" s="78"/>
      <c r="F7" s="78"/>
      <c r="G7" s="78"/>
      <c r="H7" s="78"/>
      <c r="I7" s="78"/>
      <c r="J7" s="78"/>
      <c r="K7" s="79"/>
    </row>
    <row r="8" spans="1:11" ht="13.5" customHeight="1">
      <c r="A8" s="68"/>
      <c r="B8" s="80"/>
      <c r="C8" s="80"/>
      <c r="D8" s="80"/>
      <c r="E8" s="80"/>
      <c r="F8" s="80"/>
      <c r="G8" s="80"/>
      <c r="H8" s="80"/>
      <c r="I8" s="80"/>
      <c r="J8" s="80"/>
      <c r="K8" s="81"/>
    </row>
    <row r="9" spans="1:11" ht="13.5" customHeight="1">
      <c r="A9" s="82"/>
      <c r="B9" s="83"/>
      <c r="C9" s="83"/>
      <c r="D9" s="83"/>
      <c r="E9" s="83"/>
      <c r="F9" s="83"/>
      <c r="G9" s="83"/>
      <c r="H9" s="83"/>
      <c r="I9" s="83"/>
      <c r="J9" s="83"/>
      <c r="K9" s="84"/>
    </row>
    <row r="10" spans="1:11" ht="13.5" customHeight="1">
      <c r="A10" s="82"/>
      <c r="B10" s="83"/>
      <c r="C10" s="83"/>
      <c r="D10" s="83"/>
      <c r="E10" s="83"/>
      <c r="F10" s="83"/>
      <c r="G10" s="83"/>
      <c r="H10" s="83"/>
      <c r="I10" s="83"/>
      <c r="J10" s="83"/>
      <c r="K10" s="84"/>
    </row>
    <row r="11" spans="1:11" ht="13.5" customHeight="1">
      <c r="A11" s="82"/>
      <c r="B11" s="83"/>
      <c r="C11" s="83"/>
      <c r="D11" s="83"/>
      <c r="E11" s="83"/>
      <c r="F11" s="83"/>
      <c r="G11" s="83"/>
      <c r="H11" s="83"/>
      <c r="I11" s="83"/>
      <c r="J11" s="83"/>
      <c r="K11" s="84"/>
    </row>
    <row r="12" spans="1:11" ht="13.5" customHeight="1">
      <c r="A12" s="85"/>
      <c r="B12" s="86"/>
      <c r="C12" s="86"/>
      <c r="D12" s="86"/>
      <c r="E12" s="86"/>
      <c r="F12" s="86"/>
      <c r="G12" s="86"/>
      <c r="H12" s="86"/>
      <c r="I12" s="86"/>
      <c r="J12" s="86"/>
      <c r="K12" s="87"/>
    </row>
    <row r="13" spans="1:11" ht="13.5" customHeight="1">
      <c r="A13" s="88"/>
      <c r="B13" s="89"/>
      <c r="C13" s="89"/>
      <c r="D13" s="89"/>
      <c r="E13" s="89"/>
      <c r="F13" s="89"/>
      <c r="G13" s="89"/>
      <c r="H13" s="89"/>
      <c r="I13" s="89"/>
      <c r="J13" s="89"/>
      <c r="K13" s="90"/>
    </row>
    <row r="14" spans="1:11" ht="13.5" customHeight="1">
      <c r="A14" s="77"/>
      <c r="B14" s="78"/>
      <c r="C14" s="78"/>
      <c r="D14" s="78"/>
      <c r="E14" s="78"/>
      <c r="F14" s="78"/>
      <c r="G14" s="78"/>
      <c r="H14" s="78"/>
      <c r="I14" s="78"/>
      <c r="J14" s="78"/>
      <c r="K14" s="79"/>
    </row>
    <row r="15" spans="1:11" ht="13.5" customHeight="1">
      <c r="A15" s="68"/>
      <c r="B15" s="80"/>
      <c r="C15" s="80"/>
      <c r="D15" s="80"/>
      <c r="E15" s="80"/>
      <c r="F15" s="80"/>
      <c r="G15" s="80"/>
      <c r="H15" s="80"/>
      <c r="I15" s="80"/>
      <c r="J15" s="80"/>
      <c r="K15" s="81"/>
    </row>
    <row r="16" spans="1:11" ht="13.5" customHeight="1">
      <c r="A16" s="82"/>
      <c r="B16" s="83"/>
      <c r="C16" s="83"/>
      <c r="D16" s="83"/>
      <c r="E16" s="83"/>
      <c r="F16" s="83"/>
      <c r="G16" s="83"/>
      <c r="H16" s="83"/>
      <c r="I16" s="83"/>
      <c r="J16" s="83"/>
      <c r="K16" s="84"/>
    </row>
    <row r="17" spans="1:11" ht="13.5" customHeight="1">
      <c r="A17" s="82"/>
      <c r="B17" s="83"/>
      <c r="C17" s="83"/>
      <c r="D17" s="83"/>
      <c r="E17" s="83"/>
      <c r="F17" s="83"/>
      <c r="G17" s="83"/>
      <c r="H17" s="83"/>
      <c r="I17" s="83"/>
      <c r="J17" s="83"/>
      <c r="K17" s="84"/>
    </row>
    <row r="18" spans="1:11" ht="13.5" customHeight="1">
      <c r="A18" s="82"/>
      <c r="B18" s="83"/>
      <c r="C18" s="83"/>
      <c r="D18" s="83"/>
      <c r="E18" s="83"/>
      <c r="F18" s="83"/>
      <c r="G18" s="83"/>
      <c r="H18" s="83"/>
      <c r="I18" s="83"/>
      <c r="J18" s="83"/>
      <c r="K18" s="84"/>
    </row>
    <row r="19" spans="1:11" ht="13.5" customHeight="1">
      <c r="A19" s="85"/>
      <c r="B19" s="86"/>
      <c r="C19" s="86"/>
      <c r="D19" s="86"/>
      <c r="E19" s="86"/>
      <c r="F19" s="86"/>
      <c r="G19" s="86"/>
      <c r="H19" s="86"/>
      <c r="I19" s="86"/>
      <c r="J19" s="86"/>
      <c r="K19" s="87"/>
    </row>
    <row r="20" spans="1:11" ht="13.5" customHeight="1">
      <c r="A20" s="88"/>
      <c r="B20" s="89"/>
      <c r="C20" s="89"/>
      <c r="D20" s="89"/>
      <c r="E20" s="89"/>
      <c r="F20" s="89"/>
      <c r="G20" s="89"/>
      <c r="H20" s="89"/>
      <c r="I20" s="89"/>
      <c r="J20" s="89"/>
      <c r="K20" s="90"/>
    </row>
    <row r="21" spans="1:11" ht="13.5" customHeight="1">
      <c r="A21" s="77"/>
      <c r="B21" s="78"/>
      <c r="C21" s="78"/>
      <c r="D21" s="78"/>
      <c r="E21" s="78"/>
      <c r="F21" s="78"/>
      <c r="G21" s="78"/>
      <c r="H21" s="78"/>
      <c r="I21" s="78"/>
      <c r="J21" s="78"/>
      <c r="K21" s="79"/>
    </row>
    <row r="22" spans="1:11" ht="13.5" customHeight="1">
      <c r="A22" s="68"/>
      <c r="B22" s="80"/>
      <c r="C22" s="80"/>
      <c r="D22" s="80"/>
      <c r="E22" s="80"/>
      <c r="F22" s="80"/>
      <c r="G22" s="80"/>
      <c r="H22" s="80"/>
      <c r="I22" s="80"/>
      <c r="J22" s="80"/>
      <c r="K22" s="81"/>
    </row>
    <row r="23" spans="1:11" ht="13.5" customHeight="1">
      <c r="A23" s="82"/>
      <c r="B23" s="83"/>
      <c r="C23" s="83"/>
      <c r="D23" s="83"/>
      <c r="E23" s="83"/>
      <c r="F23" s="83"/>
      <c r="G23" s="83"/>
      <c r="H23" s="83"/>
      <c r="I23" s="83"/>
      <c r="J23" s="83"/>
      <c r="K23" s="84"/>
    </row>
    <row r="24" spans="1:11" ht="13.5" customHeight="1">
      <c r="A24" s="82"/>
      <c r="B24" s="83"/>
      <c r="C24" s="83"/>
      <c r="D24" s="83"/>
      <c r="E24" s="83"/>
      <c r="F24" s="83"/>
      <c r="G24" s="83"/>
      <c r="H24" s="83"/>
      <c r="I24" s="83"/>
      <c r="J24" s="83"/>
      <c r="K24" s="84"/>
    </row>
    <row r="25" spans="1:11" ht="13.5" customHeight="1">
      <c r="A25" s="82"/>
      <c r="B25" s="83"/>
      <c r="C25" s="83"/>
      <c r="D25" s="83"/>
      <c r="E25" s="83"/>
      <c r="F25" s="83"/>
      <c r="G25" s="83"/>
      <c r="H25" s="83"/>
      <c r="I25" s="83"/>
      <c r="J25" s="83"/>
      <c r="K25" s="84"/>
    </row>
    <row r="26" spans="1:11" ht="13.5" customHeight="1">
      <c r="A26" s="85"/>
      <c r="B26" s="86"/>
      <c r="C26" s="86"/>
      <c r="D26" s="86"/>
      <c r="E26" s="86"/>
      <c r="F26" s="86"/>
      <c r="G26" s="86"/>
      <c r="H26" s="86"/>
      <c r="I26" s="86"/>
      <c r="J26" s="86"/>
      <c r="K26" s="87"/>
    </row>
    <row r="27" spans="1:11" ht="13.5" customHeight="1">
      <c r="A27" s="88"/>
      <c r="B27" s="89"/>
      <c r="C27" s="89"/>
      <c r="D27" s="89"/>
      <c r="E27" s="89"/>
      <c r="F27" s="89"/>
      <c r="G27" s="89"/>
      <c r="H27" s="89"/>
      <c r="I27" s="89"/>
      <c r="J27" s="89"/>
      <c r="K27" s="90"/>
    </row>
    <row r="28" spans="1:11" ht="13.5" customHeight="1">
      <c r="A28" s="77"/>
      <c r="B28" s="78"/>
      <c r="C28" s="78"/>
      <c r="D28" s="78"/>
      <c r="E28" s="78"/>
      <c r="F28" s="78"/>
      <c r="G28" s="78"/>
      <c r="H28" s="78"/>
      <c r="I28" s="78"/>
      <c r="J28" s="78"/>
      <c r="K28" s="79"/>
    </row>
    <row r="29" spans="1:11" ht="13.5" customHeight="1">
      <c r="A29" s="68"/>
      <c r="B29" s="80"/>
      <c r="C29" s="80"/>
      <c r="D29" s="80"/>
      <c r="E29" s="80"/>
      <c r="F29" s="80"/>
      <c r="G29" s="80"/>
      <c r="H29" s="80"/>
      <c r="I29" s="80"/>
      <c r="J29" s="80"/>
      <c r="K29" s="81"/>
    </row>
    <row r="30" spans="1:11" ht="13.5" customHeight="1">
      <c r="A30" s="82"/>
      <c r="B30" s="83"/>
      <c r="C30" s="83"/>
      <c r="D30" s="83"/>
      <c r="E30" s="83"/>
      <c r="F30" s="83"/>
      <c r="G30" s="83"/>
      <c r="H30" s="83"/>
      <c r="I30" s="83"/>
      <c r="J30" s="83"/>
      <c r="K30" s="84"/>
    </row>
    <row r="31" spans="1:11" ht="13.5" customHeight="1">
      <c r="A31" s="82"/>
      <c r="B31" s="83"/>
      <c r="C31" s="83"/>
      <c r="D31" s="83"/>
      <c r="E31" s="83"/>
      <c r="F31" s="83"/>
      <c r="G31" s="83"/>
      <c r="H31" s="83"/>
      <c r="I31" s="83"/>
      <c r="J31" s="83"/>
      <c r="K31" s="84"/>
    </row>
    <row r="32" spans="1:11" ht="13.5" customHeight="1">
      <c r="A32" s="82"/>
      <c r="B32" s="83"/>
      <c r="C32" s="83"/>
      <c r="D32" s="83"/>
      <c r="E32" s="83"/>
      <c r="F32" s="83"/>
      <c r="G32" s="83"/>
      <c r="H32" s="83"/>
      <c r="I32" s="83"/>
      <c r="J32" s="83"/>
      <c r="K32" s="84"/>
    </row>
    <row r="33" spans="1:11" ht="13.5" customHeight="1">
      <c r="A33" s="85"/>
      <c r="B33" s="86"/>
      <c r="C33" s="86"/>
      <c r="D33" s="86"/>
      <c r="E33" s="86"/>
      <c r="F33" s="86"/>
      <c r="G33" s="86"/>
      <c r="H33" s="86"/>
      <c r="I33" s="86"/>
      <c r="J33" s="86"/>
      <c r="K33" s="87"/>
    </row>
    <row r="34" spans="1:11" ht="13.5" customHeight="1">
      <c r="A34" s="88"/>
      <c r="B34" s="89"/>
      <c r="C34" s="89"/>
      <c r="D34" s="89"/>
      <c r="E34" s="89"/>
      <c r="F34" s="89"/>
      <c r="G34" s="89"/>
      <c r="H34" s="89"/>
      <c r="I34" s="89"/>
      <c r="J34" s="89"/>
      <c r="K34" s="90"/>
    </row>
    <row r="35" spans="1:11" ht="13.5" customHeight="1">
      <c r="A35" s="77"/>
      <c r="B35" s="78"/>
      <c r="C35" s="78"/>
      <c r="D35" s="78"/>
      <c r="E35" s="78"/>
      <c r="F35" s="78"/>
      <c r="G35" s="78"/>
      <c r="H35" s="78"/>
      <c r="I35" s="78"/>
      <c r="J35" s="78"/>
      <c r="K35" s="79"/>
    </row>
    <row r="36" spans="1:11" ht="13.5" customHeight="1">
      <c r="A36" s="68"/>
      <c r="B36" s="80"/>
      <c r="C36" s="80"/>
      <c r="D36" s="80"/>
      <c r="E36" s="80"/>
      <c r="F36" s="80"/>
      <c r="G36" s="80"/>
      <c r="H36" s="80"/>
      <c r="I36" s="80"/>
      <c r="J36" s="80"/>
      <c r="K36" s="81"/>
    </row>
    <row r="37" spans="1:11" ht="13.5" customHeight="1">
      <c r="A37" s="82"/>
      <c r="B37" s="83"/>
      <c r="C37" s="83"/>
      <c r="D37" s="83"/>
      <c r="E37" s="83"/>
      <c r="F37" s="83"/>
      <c r="G37" s="83"/>
      <c r="H37" s="83"/>
      <c r="I37" s="83"/>
      <c r="J37" s="83"/>
      <c r="K37" s="84"/>
    </row>
    <row r="38" spans="1:11" ht="13.5" customHeight="1">
      <c r="A38" s="82"/>
      <c r="B38" s="83"/>
      <c r="C38" s="83"/>
      <c r="D38" s="83"/>
      <c r="E38" s="83"/>
      <c r="F38" s="83"/>
      <c r="G38" s="83"/>
      <c r="H38" s="83"/>
      <c r="I38" s="83"/>
      <c r="J38" s="83"/>
      <c r="K38" s="84"/>
    </row>
    <row r="39" spans="1:11" ht="13.5" customHeight="1">
      <c r="A39" s="82"/>
      <c r="B39" s="83"/>
      <c r="C39" s="83"/>
      <c r="D39" s="83"/>
      <c r="E39" s="83"/>
      <c r="F39" s="83"/>
      <c r="G39" s="83"/>
      <c r="H39" s="83"/>
      <c r="I39" s="83"/>
      <c r="J39" s="83"/>
      <c r="K39" s="84"/>
    </row>
    <row r="40" spans="1:11" ht="13.5" customHeight="1">
      <c r="A40" s="85"/>
      <c r="B40" s="86"/>
      <c r="C40" s="86"/>
      <c r="D40" s="86"/>
      <c r="E40" s="86"/>
      <c r="F40" s="86"/>
      <c r="G40" s="86"/>
      <c r="H40" s="86"/>
      <c r="I40" s="86"/>
      <c r="J40" s="86"/>
      <c r="K40" s="87"/>
    </row>
    <row r="41" spans="1:11" ht="13.5" customHeight="1">
      <c r="A41" s="88"/>
      <c r="B41" s="89"/>
      <c r="C41" s="89"/>
      <c r="D41" s="89"/>
      <c r="E41" s="89"/>
      <c r="F41" s="89"/>
      <c r="G41" s="89"/>
      <c r="H41" s="89"/>
      <c r="I41" s="89"/>
      <c r="J41" s="89"/>
      <c r="K41" s="90"/>
    </row>
    <row r="42" spans="1:11" ht="13.5" customHeight="1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</row>
    <row r="43" spans="1:11" ht="13.5" customHeight="1">
      <c r="A43" s="68"/>
      <c r="B43" s="69"/>
      <c r="C43" s="69"/>
      <c r="D43" s="69"/>
      <c r="E43" s="69"/>
      <c r="F43" s="69"/>
      <c r="G43" s="69"/>
      <c r="H43" s="69"/>
      <c r="I43" s="69"/>
      <c r="J43" s="69"/>
      <c r="K43" s="70"/>
    </row>
    <row r="44" spans="1:11" ht="13.5" customHeight="1">
      <c r="A44" s="71"/>
      <c r="B44" s="72"/>
      <c r="C44" s="72"/>
      <c r="D44" s="72"/>
      <c r="E44" s="72"/>
      <c r="F44" s="72"/>
      <c r="G44" s="72"/>
      <c r="H44" s="72"/>
      <c r="I44" s="72"/>
      <c r="J44" s="72"/>
      <c r="K44" s="73"/>
    </row>
    <row r="45" spans="1:11" ht="13.5" customHeight="1">
      <c r="A45" s="71"/>
      <c r="B45" s="72"/>
      <c r="C45" s="72"/>
      <c r="D45" s="72"/>
      <c r="E45" s="72"/>
      <c r="F45" s="72"/>
      <c r="G45" s="72"/>
      <c r="H45" s="72"/>
      <c r="I45" s="72"/>
      <c r="J45" s="72"/>
      <c r="K45" s="73"/>
    </row>
    <row r="46" spans="1:11" ht="13.5" customHeight="1">
      <c r="A46" s="71"/>
      <c r="B46" s="72"/>
      <c r="C46" s="72"/>
      <c r="D46" s="72"/>
      <c r="E46" s="72"/>
      <c r="F46" s="72"/>
      <c r="G46" s="72"/>
      <c r="H46" s="72"/>
      <c r="I46" s="72"/>
      <c r="J46" s="72"/>
      <c r="K46" s="73"/>
    </row>
    <row r="47" spans="1:11" ht="13.5" customHeight="1">
      <c r="A47" s="71"/>
      <c r="B47" s="72"/>
      <c r="C47" s="72"/>
      <c r="D47" s="72"/>
      <c r="E47" s="72"/>
      <c r="F47" s="72"/>
      <c r="G47" s="72"/>
      <c r="H47" s="72"/>
      <c r="I47" s="72"/>
      <c r="J47" s="72"/>
      <c r="K47" s="73"/>
    </row>
    <row r="48" spans="1:11" ht="13.5" customHeight="1">
      <c r="A48" s="74"/>
      <c r="B48" s="75"/>
      <c r="C48" s="75"/>
      <c r="D48" s="75"/>
      <c r="E48" s="75"/>
      <c r="F48" s="75"/>
      <c r="G48" s="75"/>
      <c r="H48" s="75"/>
      <c r="I48" s="75"/>
      <c r="J48" s="75"/>
      <c r="K48" s="76"/>
    </row>
  </sheetData>
  <mergeCells count="21">
    <mergeCell ref="A2:K2"/>
    <mergeCell ref="A4:B4"/>
    <mergeCell ref="C4:D4"/>
    <mergeCell ref="E4:F4"/>
    <mergeCell ref="G4:H4"/>
    <mergeCell ref="A26:K27"/>
    <mergeCell ref="A7:K7"/>
    <mergeCell ref="A8:K11"/>
    <mergeCell ref="A12:K13"/>
    <mergeCell ref="A14:K14"/>
    <mergeCell ref="A15:K18"/>
    <mergeCell ref="A19:K20"/>
    <mergeCell ref="A21:K21"/>
    <mergeCell ref="A22:K25"/>
    <mergeCell ref="A43:K48"/>
    <mergeCell ref="A28:K28"/>
    <mergeCell ref="A29:K32"/>
    <mergeCell ref="A33:K34"/>
    <mergeCell ref="A35:K35"/>
    <mergeCell ref="A36:K39"/>
    <mergeCell ref="A40:K41"/>
  </mergeCells>
  <phoneticPr fontId="2"/>
  <pageMargins left="0.7" right="0.7" top="0.75" bottom="0.75" header="0.3" footer="0.3"/>
  <pageSetup paperSize="9" scale="79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マスタ</vt:lpstr>
      <vt:lpstr>勤務表(2026年2月)</vt:lpstr>
      <vt:lpstr>ダミー報告書</vt:lpstr>
      <vt:lpstr>ダミー報告書!Print_Area</vt:lpstr>
      <vt:lpstr>'勤務表(2026年2月)'!Print_Area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SHIN</dc:creator>
  <cp:lastModifiedBy>慶太 神部</cp:lastModifiedBy>
  <dcterms:created xsi:type="dcterms:W3CDTF">2015-06-05T18:19:34Z</dcterms:created>
  <dcterms:modified xsi:type="dcterms:W3CDTF">2026-01-04T13:03:59Z</dcterms:modified>
</cp:coreProperties>
</file>